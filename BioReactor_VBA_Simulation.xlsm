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1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ottawa-my.sharepoint.com/personal/inego085_uottawa_ca/Documents/Microsoft Teams Chat Files/"/>
    </mc:Choice>
  </mc:AlternateContent>
  <xr:revisionPtr revIDLastSave="0" documentId="8_{40365E98-5827-4E8E-ABF7-57BCCB1712E9}" xr6:coauthVersionLast="47" xr6:coauthVersionMax="47" xr10:uidLastSave="{00000000-0000-0000-0000-000000000000}"/>
  <bookViews>
    <workbookView xWindow="-110" yWindow="-110" windowWidth="19420" windowHeight="10300" firstSheet="1" activeTab="1" xr2:uid="{33327EEE-1D4D-44CA-AC6A-021762AF872E}"/>
  </bookViews>
  <sheets>
    <sheet name="Data analysis" sheetId="2" r:id="rId1"/>
    <sheet name="Design Optimization" sheetId="6" r:id="rId2"/>
    <sheet name="Visualization" sheetId="9" r:id="rId3"/>
  </sheets>
  <definedNames>
    <definedName name="solver_adj" localSheetId="0" hidden="1">'Data analysis'!$B$81:$B$82</definedName>
    <definedName name="solver_adj" localSheetId="1" hidden="1">'Design Optimization'!$B$2:$B$6</definedName>
    <definedName name="solver_adj" localSheetId="2" hidden="1">Visualization!$B$2:$B$7</definedName>
    <definedName name="solver_cvg" localSheetId="0" hidden="1">0.0001</definedName>
    <definedName name="solver_cvg" localSheetId="1" hidden="1">0.0001</definedName>
    <definedName name="solver_cvg" localSheetId="2" hidden="1">0.0001</definedName>
    <definedName name="solver_drv" localSheetId="0" hidden="1">1</definedName>
    <definedName name="solver_drv" localSheetId="1" hidden="1">1</definedName>
    <definedName name="solver_drv" localSheetId="2" hidden="1">1</definedName>
    <definedName name="solver_eng" localSheetId="0" hidden="1">1</definedName>
    <definedName name="solver_eng" localSheetId="1" hidden="1">1</definedName>
    <definedName name="solver_eng" localSheetId="2" hidden="1">1</definedName>
    <definedName name="solver_est" localSheetId="0" hidden="1">1</definedName>
    <definedName name="solver_est" localSheetId="1" hidden="1">1</definedName>
    <definedName name="solver_est" localSheetId="2" hidden="1">1</definedName>
    <definedName name="solver_itr" localSheetId="0" hidden="1">2147483647</definedName>
    <definedName name="solver_itr" localSheetId="1" hidden="1">2147483647</definedName>
    <definedName name="solver_itr" localSheetId="2" hidden="1">2147483647</definedName>
    <definedName name="solver_lhs1" localSheetId="1" hidden="1">'Design Optimization'!$A$19</definedName>
    <definedName name="solver_lhs1" localSheetId="2" hidden="1">Visualization!$B$19</definedName>
    <definedName name="solver_lhs10" localSheetId="1" hidden="1">'Design Optimization'!$D$19</definedName>
    <definedName name="solver_lhs11" localSheetId="1" hidden="1">'Design Optimization'!$H$19</definedName>
    <definedName name="solver_lhs2" localSheetId="1" hidden="1">'Design Optimization'!$A$19</definedName>
    <definedName name="solver_lhs2" localSheetId="2" hidden="1">Visualization!$B$3</definedName>
    <definedName name="solver_lhs3" localSheetId="1" hidden="1">'Design Optimization'!$B$21</definedName>
    <definedName name="solver_lhs3" localSheetId="2" hidden="1">Visualization!$B$5</definedName>
    <definedName name="solver_lhs4" localSheetId="1" hidden="1">'Design Optimization'!$B$26</definedName>
    <definedName name="solver_lhs4" localSheetId="2" hidden="1">Visualization!$B$6</definedName>
    <definedName name="solver_lhs5" localSheetId="1" hidden="1">'Design Optimization'!$B$3</definedName>
    <definedName name="solver_lhs5" localSheetId="2" hidden="1">Visualization!$B$6</definedName>
    <definedName name="solver_lhs6" localSheetId="1" hidden="1">'Design Optimization'!$B$5</definedName>
    <definedName name="solver_lhs6" localSheetId="2" hidden="1">Visualization!$B$7</definedName>
    <definedName name="solver_lhs7" localSheetId="1" hidden="1">'Design Optimization'!$D$19</definedName>
    <definedName name="solver_lhs7" localSheetId="2" hidden="1">Visualization!$B$7</definedName>
    <definedName name="solver_lhs8" localSheetId="1" hidden="1">'Design Optimization'!$D$19</definedName>
    <definedName name="solver_lhs8" localSheetId="2" hidden="1">Visualization!$D$18</definedName>
    <definedName name="solver_lhs9" localSheetId="1" hidden="1">'Design Optimization'!$D$19</definedName>
    <definedName name="solver_lhs9" localSheetId="2" hidden="1">Visualization!$D$19</definedName>
    <definedName name="solver_mip" localSheetId="0" hidden="1">2147483647</definedName>
    <definedName name="solver_mip" localSheetId="1" hidden="1">2147483647</definedName>
    <definedName name="solver_mip" localSheetId="2" hidden="1">2147483647</definedName>
    <definedName name="solver_mni" localSheetId="0" hidden="1">30</definedName>
    <definedName name="solver_mni" localSheetId="1" hidden="1">30</definedName>
    <definedName name="solver_mni" localSheetId="2" hidden="1">30</definedName>
    <definedName name="solver_mrt" localSheetId="0" hidden="1">0.075</definedName>
    <definedName name="solver_mrt" localSheetId="1" hidden="1">0.075</definedName>
    <definedName name="solver_mrt" localSheetId="2" hidden="1">0.075</definedName>
    <definedName name="solver_msl" localSheetId="0" hidden="1">2</definedName>
    <definedName name="solver_msl" localSheetId="1" hidden="1">2</definedName>
    <definedName name="solver_msl" localSheetId="2" hidden="1">2</definedName>
    <definedName name="solver_neg" localSheetId="0" hidden="1">1</definedName>
    <definedName name="solver_neg" localSheetId="1" hidden="1">1</definedName>
    <definedName name="solver_neg" localSheetId="2" hidden="1">1</definedName>
    <definedName name="solver_nod" localSheetId="0" hidden="1">2147483647</definedName>
    <definedName name="solver_nod" localSheetId="1" hidden="1">2147483647</definedName>
    <definedName name="solver_nod" localSheetId="2" hidden="1">2147483647</definedName>
    <definedName name="solver_num" localSheetId="0" hidden="1">0</definedName>
    <definedName name="solver_num" localSheetId="1" hidden="1">6</definedName>
    <definedName name="solver_num" localSheetId="2" hidden="1">9</definedName>
    <definedName name="solver_nwt" localSheetId="0" hidden="1">1</definedName>
    <definedName name="solver_nwt" localSheetId="1" hidden="1">1</definedName>
    <definedName name="solver_nwt" localSheetId="2" hidden="1">1</definedName>
    <definedName name="solver_opt" localSheetId="0" hidden="1">'Data analysis'!$H$79</definedName>
    <definedName name="solver_opt" localSheetId="1" hidden="1">'Design Optimization'!$H$8</definedName>
    <definedName name="solver_opt" localSheetId="2" hidden="1">Visualization!#REF!</definedName>
    <definedName name="solver_pre" localSheetId="0" hidden="1">0.000001</definedName>
    <definedName name="solver_pre" localSheetId="1" hidden="1">0.0001</definedName>
    <definedName name="solver_pre" localSheetId="2" hidden="1">0.0001</definedName>
    <definedName name="solver_rbv" localSheetId="0" hidden="1">1</definedName>
    <definedName name="solver_rbv" localSheetId="1" hidden="1">2</definedName>
    <definedName name="solver_rbv" localSheetId="2" hidden="1">1</definedName>
    <definedName name="solver_rel1" localSheetId="1" hidden="1">1</definedName>
    <definedName name="solver_rel1" localSheetId="2" hidden="1">1</definedName>
    <definedName name="solver_rel10" localSheetId="1" hidden="1">1</definedName>
    <definedName name="solver_rel11" localSheetId="1" hidden="1">1</definedName>
    <definedName name="solver_rel2" localSheetId="1" hidden="1">3</definedName>
    <definedName name="solver_rel2" localSheetId="2" hidden="1">1</definedName>
    <definedName name="solver_rel3" localSheetId="1" hidden="1">3</definedName>
    <definedName name="solver_rel3" localSheetId="2" hidden="1">1</definedName>
    <definedName name="solver_rel4" localSheetId="1" hidden="1">1</definedName>
    <definedName name="solver_rel4" localSheetId="2" hidden="1">1</definedName>
    <definedName name="solver_rel5" localSheetId="1" hidden="1">1</definedName>
    <definedName name="solver_rel5" localSheetId="2" hidden="1">3</definedName>
    <definedName name="solver_rel6" localSheetId="1" hidden="1">1</definedName>
    <definedName name="solver_rel6" localSheetId="2" hidden="1">1</definedName>
    <definedName name="solver_rel7" localSheetId="1" hidden="1">1</definedName>
    <definedName name="solver_rel7" localSheetId="2" hidden="1">4</definedName>
    <definedName name="solver_rel8" localSheetId="1" hidden="1">1</definedName>
    <definedName name="solver_rel8" localSheetId="2" hidden="1">1</definedName>
    <definedName name="solver_rel9" localSheetId="1" hidden="1">1</definedName>
    <definedName name="solver_rel9" localSheetId="2" hidden="1">1</definedName>
    <definedName name="solver_rhs1" localSheetId="1" hidden="1">730.5</definedName>
    <definedName name="solver_rhs1" localSheetId="2" hidden="1">320000</definedName>
    <definedName name="solver_rhs10" localSheetId="1" hidden="1">450</definedName>
    <definedName name="solver_rhs11" localSheetId="1" hidden="1">450</definedName>
    <definedName name="solver_rhs2" localSheetId="1" hidden="1">24</definedName>
    <definedName name="solver_rhs2" localSheetId="2" hidden="1">450</definedName>
    <definedName name="solver_rhs3" localSheetId="1" hidden="1">400</definedName>
    <definedName name="solver_rhs3" localSheetId="2" hidden="1">450</definedName>
    <definedName name="solver_rhs4" localSheetId="1" hidden="1">320000</definedName>
    <definedName name="solver_rhs4" localSheetId="2" hidden="1">730.5</definedName>
    <definedName name="solver_rhs5" localSheetId="1" hidden="1">450</definedName>
    <definedName name="solver_rhs5" localSheetId="2" hidden="1">24</definedName>
    <definedName name="solver_rhs6" localSheetId="1" hidden="1">450</definedName>
    <definedName name="solver_rhs6" localSheetId="2" hidden="1">10</definedName>
    <definedName name="solver_rhs7" localSheetId="1" hidden="1">450</definedName>
    <definedName name="solver_rhs7" localSheetId="2" hidden="1">"integer"</definedName>
    <definedName name="solver_rhs8" localSheetId="1" hidden="1">450</definedName>
    <definedName name="solver_rhs8" localSheetId="2" hidden="1">50</definedName>
    <definedName name="solver_rhs9" localSheetId="1" hidden="1">450</definedName>
    <definedName name="solver_rhs9" localSheetId="2" hidden="1">450</definedName>
    <definedName name="solver_rlx" localSheetId="0" hidden="1">2</definedName>
    <definedName name="solver_rlx" localSheetId="1" hidden="1">2</definedName>
    <definedName name="solver_rlx" localSheetId="2" hidden="1">2</definedName>
    <definedName name="solver_rsd" localSheetId="0" hidden="1">0</definedName>
    <definedName name="solver_rsd" localSheetId="1" hidden="1">0</definedName>
    <definedName name="solver_rsd" localSheetId="2" hidden="1">0</definedName>
    <definedName name="solver_scl" localSheetId="0" hidden="1">1</definedName>
    <definedName name="solver_scl" localSheetId="1" hidden="1">1</definedName>
    <definedName name="solver_scl" localSheetId="2" hidden="1">1</definedName>
    <definedName name="solver_sho" localSheetId="0" hidden="1">2</definedName>
    <definedName name="solver_sho" localSheetId="1" hidden="1">2</definedName>
    <definedName name="solver_sho" localSheetId="2" hidden="1">2</definedName>
    <definedName name="solver_ssz" localSheetId="0" hidden="1">100</definedName>
    <definedName name="solver_ssz" localSheetId="1" hidden="1">0</definedName>
    <definedName name="solver_ssz" localSheetId="2" hidden="1">100</definedName>
    <definedName name="solver_tim" localSheetId="0" hidden="1">2147483647</definedName>
    <definedName name="solver_tim" localSheetId="1" hidden="1">2147483647</definedName>
    <definedName name="solver_tim" localSheetId="2" hidden="1">2147483647</definedName>
    <definedName name="solver_tol" localSheetId="0" hidden="1">0.01</definedName>
    <definedName name="solver_tol" localSheetId="1" hidden="1">0.01</definedName>
    <definedName name="solver_tol" localSheetId="2" hidden="1">0.01</definedName>
    <definedName name="solver_typ" localSheetId="0" hidden="1">2</definedName>
    <definedName name="solver_typ" localSheetId="1" hidden="1">1</definedName>
    <definedName name="solver_typ" localSheetId="2" hidden="1">1</definedName>
    <definedName name="solver_val" localSheetId="0" hidden="1">0</definedName>
    <definedName name="solver_val" localSheetId="1" hidden="1">320000</definedName>
    <definedName name="solver_val" localSheetId="2" hidden="1">15</definedName>
    <definedName name="solver_ver" localSheetId="0" hidden="1">3</definedName>
    <definedName name="solver_ver" localSheetId="1" hidden="1">3</definedName>
    <definedName name="solver_ver" localSheetId="2" hidden="1">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9" i="6" l="1"/>
  <c r="H4" i="6"/>
  <c r="H3" i="6"/>
  <c r="A19" i="9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A213" i="9" s="1"/>
  <c r="A214" i="9" s="1"/>
  <c r="A215" i="9" s="1"/>
  <c r="A216" i="9" s="1"/>
  <c r="A217" i="9" s="1"/>
  <c r="A218" i="9" s="1"/>
  <c r="A219" i="9" s="1"/>
  <c r="A220" i="9" s="1"/>
  <c r="A221" i="9" s="1"/>
  <c r="A222" i="9" s="1"/>
  <c r="A223" i="9" s="1"/>
  <c r="A224" i="9" s="1"/>
  <c r="A225" i="9" s="1"/>
  <c r="A226" i="9" s="1"/>
  <c r="A227" i="9" s="1"/>
  <c r="A228" i="9" s="1"/>
  <c r="A229" i="9" s="1"/>
  <c r="A230" i="9" s="1"/>
  <c r="A231" i="9" s="1"/>
  <c r="A232" i="9" s="1"/>
  <c r="A233" i="9" s="1"/>
  <c r="A234" i="9" s="1"/>
  <c r="A235" i="9" s="1"/>
  <c r="A236" i="9" s="1"/>
  <c r="A237" i="9" s="1"/>
  <c r="A238" i="9" s="1"/>
  <c r="A239" i="9" s="1"/>
  <c r="A240" i="9" s="1"/>
  <c r="A241" i="9" s="1"/>
  <c r="A242" i="9" s="1"/>
  <c r="A243" i="9" s="1"/>
  <c r="A244" i="9" s="1"/>
  <c r="A245" i="9" s="1"/>
  <c r="A246" i="9" s="1"/>
  <c r="A247" i="9" s="1"/>
  <c r="A248" i="9" s="1"/>
  <c r="A249" i="9" s="1"/>
  <c r="A250" i="9" s="1"/>
  <c r="A251" i="9" s="1"/>
  <c r="A252" i="9" s="1"/>
  <c r="A253" i="9" s="1"/>
  <c r="A254" i="9" s="1"/>
  <c r="A255" i="9" s="1"/>
  <c r="A256" i="9" s="1"/>
  <c r="A257" i="9" s="1"/>
  <c r="A258" i="9" s="1"/>
  <c r="A259" i="9" s="1"/>
  <c r="A260" i="9" s="1"/>
  <c r="A261" i="9" s="1"/>
  <c r="A262" i="9" s="1"/>
  <c r="A263" i="9" s="1"/>
  <c r="A264" i="9" s="1"/>
  <c r="A265" i="9" s="1"/>
  <c r="A266" i="9" s="1"/>
  <c r="A267" i="9" s="1"/>
  <c r="A268" i="9" s="1"/>
  <c r="A269" i="9" s="1"/>
  <c r="A270" i="9" s="1"/>
  <c r="A271" i="9" s="1"/>
  <c r="A272" i="9" s="1"/>
  <c r="A273" i="9" s="1"/>
  <c r="A274" i="9" s="1"/>
  <c r="A275" i="9" s="1"/>
  <c r="A276" i="9" s="1"/>
  <c r="A277" i="9" s="1"/>
  <c r="A278" i="9" s="1"/>
  <c r="A279" i="9" s="1"/>
  <c r="A280" i="9" s="1"/>
  <c r="A281" i="9" s="1"/>
  <c r="A282" i="9" s="1"/>
  <c r="A283" i="9" s="1"/>
  <c r="A284" i="9" s="1"/>
  <c r="A285" i="9" s="1"/>
  <c r="A286" i="9" s="1"/>
  <c r="A287" i="9" s="1"/>
  <c r="A288" i="9" s="1"/>
  <c r="A289" i="9" s="1"/>
  <c r="A290" i="9" s="1"/>
  <c r="A291" i="9" s="1"/>
  <c r="A292" i="9" s="1"/>
  <c r="A293" i="9" s="1"/>
  <c r="A294" i="9" s="1"/>
  <c r="A295" i="9" s="1"/>
  <c r="A296" i="9" s="1"/>
  <c r="A297" i="9" s="1"/>
  <c r="A298" i="9" s="1"/>
  <c r="A299" i="9" s="1"/>
  <c r="A300" i="9" s="1"/>
  <c r="A301" i="9" s="1"/>
  <c r="A302" i="9" s="1"/>
  <c r="A303" i="9" s="1"/>
  <c r="A304" i="9" s="1"/>
  <c r="A305" i="9" s="1"/>
  <c r="A306" i="9" s="1"/>
  <c r="A307" i="9" s="1"/>
  <c r="A308" i="9" s="1"/>
  <c r="A309" i="9" s="1"/>
  <c r="A310" i="9" s="1"/>
  <c r="A311" i="9" s="1"/>
  <c r="A312" i="9" s="1"/>
  <c r="A313" i="9" s="1"/>
  <c r="A314" i="9" s="1"/>
  <c r="A315" i="9" s="1"/>
  <c r="A316" i="9" s="1"/>
  <c r="A317" i="9" s="1"/>
  <c r="A318" i="9" s="1"/>
  <c r="A319" i="9" s="1"/>
  <c r="A320" i="9" s="1"/>
  <c r="A321" i="9" s="1"/>
  <c r="A322" i="9" s="1"/>
  <c r="A323" i="9" s="1"/>
  <c r="A324" i="9" s="1"/>
  <c r="A325" i="9" s="1"/>
  <c r="A326" i="9" s="1"/>
  <c r="A327" i="9" s="1"/>
  <c r="A328" i="9" s="1"/>
  <c r="A329" i="9" s="1"/>
  <c r="A330" i="9" s="1"/>
  <c r="A331" i="9" s="1"/>
  <c r="A332" i="9" s="1"/>
  <c r="A333" i="9" s="1"/>
  <c r="A334" i="9" s="1"/>
  <c r="A335" i="9" s="1"/>
  <c r="A336" i="9" s="1"/>
  <c r="A337" i="9" s="1"/>
  <c r="A338" i="9" s="1"/>
  <c r="A339" i="9" s="1"/>
  <c r="A340" i="9" s="1"/>
  <c r="A341" i="9" s="1"/>
  <c r="A342" i="9" s="1"/>
  <c r="A343" i="9" s="1"/>
  <c r="A344" i="9" s="1"/>
  <c r="A345" i="9" s="1"/>
  <c r="A346" i="9" s="1"/>
  <c r="A347" i="9" s="1"/>
  <c r="A348" i="9" s="1"/>
  <c r="A349" i="9" s="1"/>
  <c r="A350" i="9" s="1"/>
  <c r="A351" i="9" s="1"/>
  <c r="A352" i="9" s="1"/>
  <c r="A353" i="9" s="1"/>
  <c r="A354" i="9" s="1"/>
  <c r="A355" i="9" s="1"/>
  <c r="A356" i="9" s="1"/>
  <c r="A357" i="9" s="1"/>
  <c r="A358" i="9" s="1"/>
  <c r="A359" i="9" s="1"/>
  <c r="A360" i="9" s="1"/>
  <c r="A361" i="9" s="1"/>
  <c r="A362" i="9" s="1"/>
  <c r="A363" i="9" s="1"/>
  <c r="A364" i="9" s="1"/>
  <c r="A365" i="9" s="1"/>
  <c r="A366" i="9" s="1"/>
  <c r="A367" i="9" s="1"/>
  <c r="A368" i="9" s="1"/>
  <c r="A369" i="9" s="1"/>
  <c r="A370" i="9" s="1"/>
  <c r="A371" i="9" s="1"/>
  <c r="A372" i="9" s="1"/>
  <c r="A373" i="9" s="1"/>
  <c r="A374" i="9" s="1"/>
  <c r="A375" i="9" s="1"/>
  <c r="A376" i="9" s="1"/>
  <c r="A377" i="9" s="1"/>
  <c r="A378" i="9" s="1"/>
  <c r="A379" i="9" s="1"/>
  <c r="A380" i="9" s="1"/>
  <c r="A381" i="9" s="1"/>
  <c r="A382" i="9" s="1"/>
  <c r="A383" i="9" s="1"/>
  <c r="A384" i="9" s="1"/>
  <c r="A385" i="9" s="1"/>
  <c r="A386" i="9" s="1"/>
  <c r="A387" i="9" s="1"/>
  <c r="A388" i="9" s="1"/>
  <c r="A389" i="9" s="1"/>
  <c r="A390" i="9" s="1"/>
  <c r="A391" i="9" s="1"/>
  <c r="A392" i="9" s="1"/>
  <c r="A393" i="9" s="1"/>
  <c r="A394" i="9" s="1"/>
  <c r="A395" i="9" s="1"/>
  <c r="A396" i="9" s="1"/>
  <c r="A397" i="9" s="1"/>
  <c r="A398" i="9" s="1"/>
  <c r="A399" i="9" s="1"/>
  <c r="A400" i="9" s="1"/>
  <c r="A401" i="9" s="1"/>
  <c r="A402" i="9" s="1"/>
  <c r="A403" i="9" s="1"/>
  <c r="A404" i="9" s="1"/>
  <c r="A405" i="9" s="1"/>
  <c r="A406" i="9" s="1"/>
  <c r="A407" i="9" s="1"/>
  <c r="A408" i="9" s="1"/>
  <c r="A409" i="9" s="1"/>
  <c r="A410" i="9" s="1"/>
  <c r="A411" i="9" s="1"/>
  <c r="A412" i="9" s="1"/>
  <c r="A413" i="9" s="1"/>
  <c r="A414" i="9" s="1"/>
  <c r="A415" i="9" s="1"/>
  <c r="A416" i="9" s="1"/>
  <c r="A417" i="9" s="1"/>
  <c r="A418" i="9" s="1"/>
  <c r="A419" i="9" s="1"/>
  <c r="A420" i="9" s="1"/>
  <c r="A421" i="9" s="1"/>
  <c r="A422" i="9" s="1"/>
  <c r="A423" i="9" s="1"/>
  <c r="A424" i="9" s="1"/>
  <c r="A425" i="9" s="1"/>
  <c r="A426" i="9" s="1"/>
  <c r="A427" i="9" s="1"/>
  <c r="A428" i="9" s="1"/>
  <c r="A429" i="9" s="1"/>
  <c r="A430" i="9" s="1"/>
  <c r="A431" i="9" s="1"/>
  <c r="A432" i="9" s="1"/>
  <c r="A433" i="9" s="1"/>
  <c r="A434" i="9" s="1"/>
  <c r="A435" i="9" s="1"/>
  <c r="A436" i="9" s="1"/>
  <c r="A437" i="9" s="1"/>
  <c r="A438" i="9" s="1"/>
  <c r="A439" i="9" s="1"/>
  <c r="A440" i="9" s="1"/>
  <c r="A441" i="9" s="1"/>
  <c r="A442" i="9" s="1"/>
  <c r="A443" i="9" s="1"/>
  <c r="A444" i="9" s="1"/>
  <c r="A445" i="9" s="1"/>
  <c r="A446" i="9" s="1"/>
  <c r="A447" i="9" s="1"/>
  <c r="A448" i="9" s="1"/>
  <c r="A449" i="9" s="1"/>
  <c r="A450" i="9" s="1"/>
  <c r="A451" i="9" s="1"/>
  <c r="A452" i="9" s="1"/>
  <c r="A453" i="9" s="1"/>
  <c r="A454" i="9" s="1"/>
  <c r="A455" i="9" s="1"/>
  <c r="A456" i="9" s="1"/>
  <c r="A457" i="9" s="1"/>
  <c r="A458" i="9" s="1"/>
  <c r="A459" i="9" s="1"/>
  <c r="A460" i="9" s="1"/>
  <c r="A461" i="9" s="1"/>
  <c r="A462" i="9" s="1"/>
  <c r="A463" i="9" s="1"/>
  <c r="A464" i="9" s="1"/>
  <c r="A465" i="9" s="1"/>
  <c r="A466" i="9" s="1"/>
  <c r="A467" i="9" s="1"/>
  <c r="A468" i="9" s="1"/>
  <c r="A469" i="9" s="1"/>
  <c r="A470" i="9" s="1"/>
  <c r="A471" i="9" s="1"/>
  <c r="A472" i="9" s="1"/>
  <c r="A473" i="9" s="1"/>
  <c r="A474" i="9" s="1"/>
  <c r="A475" i="9" s="1"/>
  <c r="A476" i="9" s="1"/>
  <c r="A477" i="9" s="1"/>
  <c r="A478" i="9" s="1"/>
  <c r="A479" i="9" s="1"/>
  <c r="A480" i="9" s="1"/>
  <c r="A481" i="9" s="1"/>
  <c r="A482" i="9" s="1"/>
  <c r="A483" i="9" s="1"/>
  <c r="A484" i="9" s="1"/>
  <c r="A485" i="9" s="1"/>
  <c r="A486" i="9" s="1"/>
  <c r="A487" i="9" s="1"/>
  <c r="A488" i="9" s="1"/>
  <c r="A489" i="9" s="1"/>
  <c r="A490" i="9" s="1"/>
  <c r="A491" i="9" s="1"/>
  <c r="A492" i="9" s="1"/>
  <c r="A493" i="9" s="1"/>
  <c r="A494" i="9" s="1"/>
  <c r="A495" i="9" s="1"/>
  <c r="A496" i="9" s="1"/>
  <c r="A497" i="9" s="1"/>
  <c r="A498" i="9" s="1"/>
  <c r="A499" i="9" s="1"/>
  <c r="A500" i="9" s="1"/>
  <c r="A501" i="9" s="1"/>
  <c r="A502" i="9" s="1"/>
  <c r="A503" i="9" s="1"/>
  <c r="A504" i="9" s="1"/>
  <c r="A505" i="9" s="1"/>
  <c r="A506" i="9" s="1"/>
  <c r="A507" i="9" s="1"/>
  <c r="A508" i="9" s="1"/>
  <c r="A509" i="9" s="1"/>
  <c r="A510" i="9" s="1"/>
  <c r="A511" i="9" s="1"/>
  <c r="A512" i="9" s="1"/>
  <c r="A513" i="9" s="1"/>
  <c r="A514" i="9" s="1"/>
  <c r="A515" i="9" s="1"/>
  <c r="A516" i="9" s="1"/>
  <c r="A517" i="9" s="1"/>
  <c r="A518" i="9" s="1"/>
  <c r="A519" i="9" s="1"/>
  <c r="A520" i="9" s="1"/>
  <c r="A521" i="9" s="1"/>
  <c r="A522" i="9" s="1"/>
  <c r="A523" i="9" s="1"/>
  <c r="A524" i="9" s="1"/>
  <c r="A525" i="9" s="1"/>
  <c r="A526" i="9" s="1"/>
  <c r="A527" i="9" s="1"/>
  <c r="A528" i="9" s="1"/>
  <c r="A529" i="9" s="1"/>
  <c r="A530" i="9" s="1"/>
  <c r="A531" i="9" s="1"/>
  <c r="A532" i="9" s="1"/>
  <c r="A533" i="9" s="1"/>
  <c r="A534" i="9" s="1"/>
  <c r="A535" i="9" s="1"/>
  <c r="A536" i="9" s="1"/>
  <c r="A537" i="9" s="1"/>
  <c r="A538" i="9" s="1"/>
  <c r="A539" i="9" s="1"/>
  <c r="A540" i="9" s="1"/>
  <c r="A541" i="9" s="1"/>
  <c r="A542" i="9" s="1"/>
  <c r="A543" i="9" s="1"/>
  <c r="A544" i="9" s="1"/>
  <c r="A545" i="9" s="1"/>
  <c r="A546" i="9" s="1"/>
  <c r="A547" i="9" s="1"/>
  <c r="A548" i="9" s="1"/>
  <c r="A549" i="9" s="1"/>
  <c r="A550" i="9" s="1"/>
  <c r="A551" i="9" s="1"/>
  <c r="A552" i="9" s="1"/>
  <c r="A553" i="9" s="1"/>
  <c r="A554" i="9" s="1"/>
  <c r="A555" i="9" s="1"/>
  <c r="A556" i="9" s="1"/>
  <c r="A557" i="9" s="1"/>
  <c r="A558" i="9" s="1"/>
  <c r="A559" i="9" s="1"/>
  <c r="A560" i="9" s="1"/>
  <c r="A561" i="9" s="1"/>
  <c r="A562" i="9" s="1"/>
  <c r="A563" i="9" s="1"/>
  <c r="A564" i="9" s="1"/>
  <c r="A565" i="9" s="1"/>
  <c r="A566" i="9" s="1"/>
  <c r="A567" i="9" s="1"/>
  <c r="A568" i="9" s="1"/>
  <c r="A569" i="9" s="1"/>
  <c r="A570" i="9" s="1"/>
  <c r="A571" i="9" s="1"/>
  <c r="A572" i="9" s="1"/>
  <c r="A573" i="9" s="1"/>
  <c r="A574" i="9" s="1"/>
  <c r="A575" i="9" s="1"/>
  <c r="A576" i="9" s="1"/>
  <c r="A577" i="9" s="1"/>
  <c r="A578" i="9" s="1"/>
  <c r="A579" i="9" s="1"/>
  <c r="A580" i="9" s="1"/>
  <c r="A581" i="9" s="1"/>
  <c r="A582" i="9" s="1"/>
  <c r="A583" i="9" s="1"/>
  <c r="A584" i="9" s="1"/>
  <c r="A585" i="9" s="1"/>
  <c r="A586" i="9" s="1"/>
  <c r="A587" i="9" s="1"/>
  <c r="A588" i="9" s="1"/>
  <c r="A589" i="9" s="1"/>
  <c r="A590" i="9" s="1"/>
  <c r="A591" i="9" s="1"/>
  <c r="A592" i="9" s="1"/>
  <c r="A593" i="9" s="1"/>
  <c r="A594" i="9" s="1"/>
  <c r="A595" i="9" s="1"/>
  <c r="A596" i="9" s="1"/>
  <c r="A597" i="9" s="1"/>
  <c r="A598" i="9" s="1"/>
  <c r="A599" i="9" s="1"/>
  <c r="A600" i="9" s="1"/>
  <c r="A601" i="9" s="1"/>
  <c r="A602" i="9" s="1"/>
  <c r="A603" i="9" s="1"/>
  <c r="A604" i="9" s="1"/>
  <c r="A605" i="9" s="1"/>
  <c r="A606" i="9" s="1"/>
  <c r="A607" i="9" s="1"/>
  <c r="A608" i="9" s="1"/>
  <c r="A609" i="9" s="1"/>
  <c r="A610" i="9" s="1"/>
  <c r="A611" i="9" s="1"/>
  <c r="A612" i="9" s="1"/>
  <c r="A613" i="9" s="1"/>
  <c r="A614" i="9" s="1"/>
  <c r="A615" i="9" s="1"/>
  <c r="A616" i="9" s="1"/>
  <c r="A617" i="9" s="1"/>
  <c r="A618" i="9" s="1"/>
  <c r="A619" i="9" s="1"/>
  <c r="A620" i="9" s="1"/>
  <c r="A621" i="9" s="1"/>
  <c r="A622" i="9" s="1"/>
  <c r="A623" i="9" s="1"/>
  <c r="A624" i="9" s="1"/>
  <c r="A625" i="9" s="1"/>
  <c r="A626" i="9" s="1"/>
  <c r="A627" i="9" s="1"/>
  <c r="A628" i="9" s="1"/>
  <c r="A629" i="9" s="1"/>
  <c r="A630" i="9" s="1"/>
  <c r="A631" i="9" s="1"/>
  <c r="A632" i="9" s="1"/>
  <c r="A633" i="9" s="1"/>
  <c r="A634" i="9" s="1"/>
  <c r="A635" i="9" s="1"/>
  <c r="A636" i="9" s="1"/>
  <c r="A637" i="9" s="1"/>
  <c r="A638" i="9" s="1"/>
  <c r="A639" i="9" s="1"/>
  <c r="A640" i="9" s="1"/>
  <c r="A641" i="9" s="1"/>
  <c r="A642" i="9" s="1"/>
  <c r="A643" i="9" s="1"/>
  <c r="A644" i="9" s="1"/>
  <c r="A645" i="9" s="1"/>
  <c r="A646" i="9" s="1"/>
  <c r="A647" i="9" s="1"/>
  <c r="A648" i="9" s="1"/>
  <c r="A649" i="9" s="1"/>
  <c r="A650" i="9" s="1"/>
  <c r="A651" i="9" s="1"/>
  <c r="A652" i="9" s="1"/>
  <c r="A653" i="9" s="1"/>
  <c r="A654" i="9" s="1"/>
  <c r="A655" i="9" s="1"/>
  <c r="A656" i="9" s="1"/>
  <c r="A657" i="9" s="1"/>
  <c r="A658" i="9" s="1"/>
  <c r="A659" i="9" s="1"/>
  <c r="A660" i="9" s="1"/>
  <c r="A661" i="9" s="1"/>
  <c r="A662" i="9" s="1"/>
  <c r="A663" i="9" s="1"/>
  <c r="A664" i="9" s="1"/>
  <c r="A665" i="9" s="1"/>
  <c r="A666" i="9" s="1"/>
  <c r="A667" i="9" s="1"/>
  <c r="A668" i="9" s="1"/>
  <c r="A669" i="9" s="1"/>
  <c r="A670" i="9" s="1"/>
  <c r="A671" i="9" s="1"/>
  <c r="A672" i="9" s="1"/>
  <c r="A673" i="9" s="1"/>
  <c r="A674" i="9" s="1"/>
  <c r="A675" i="9" s="1"/>
  <c r="A676" i="9" s="1"/>
  <c r="A677" i="9" s="1"/>
  <c r="A678" i="9" s="1"/>
  <c r="A679" i="9" s="1"/>
  <c r="A680" i="9" s="1"/>
  <c r="A681" i="9" s="1"/>
  <c r="A682" i="9" s="1"/>
  <c r="A683" i="9" s="1"/>
  <c r="A684" i="9" s="1"/>
  <c r="A685" i="9" s="1"/>
  <c r="A686" i="9" s="1"/>
  <c r="A687" i="9" s="1"/>
  <c r="A688" i="9" s="1"/>
  <c r="A689" i="9" s="1"/>
  <c r="A690" i="9" s="1"/>
  <c r="A691" i="9" s="1"/>
  <c r="A692" i="9" s="1"/>
  <c r="A693" i="9" s="1"/>
  <c r="A694" i="9" s="1"/>
  <c r="A695" i="9" s="1"/>
  <c r="A696" i="9" s="1"/>
  <c r="A697" i="9" s="1"/>
  <c r="A698" i="9" s="1"/>
  <c r="A699" i="9" s="1"/>
  <c r="A700" i="9" s="1"/>
  <c r="A701" i="9" s="1"/>
  <c r="A702" i="9" s="1"/>
  <c r="A703" i="9" s="1"/>
  <c r="A704" i="9" s="1"/>
  <c r="A705" i="9" s="1"/>
  <c r="A706" i="9" s="1"/>
  <c r="A707" i="9" s="1"/>
  <c r="A708" i="9" s="1"/>
  <c r="A709" i="9" s="1"/>
  <c r="A710" i="9" s="1"/>
  <c r="A711" i="9" s="1"/>
  <c r="A712" i="9" s="1"/>
  <c r="A713" i="9" s="1"/>
  <c r="A714" i="9" s="1"/>
  <c r="A715" i="9" s="1"/>
  <c r="A716" i="9" s="1"/>
  <c r="A717" i="9" s="1"/>
  <c r="A718" i="9" s="1"/>
  <c r="A719" i="9" s="1"/>
  <c r="A720" i="9" s="1"/>
  <c r="A721" i="9" s="1"/>
  <c r="A722" i="9" s="1"/>
  <c r="A723" i="9" s="1"/>
  <c r="A724" i="9" s="1"/>
  <c r="A725" i="9" s="1"/>
  <c r="A726" i="9" s="1"/>
  <c r="A727" i="9" s="1"/>
  <c r="A728" i="9" s="1"/>
  <c r="A729" i="9" s="1"/>
  <c r="A730" i="9" s="1"/>
  <c r="A731" i="9" s="1"/>
  <c r="A732" i="9" s="1"/>
  <c r="A733" i="9" s="1"/>
  <c r="A734" i="9" s="1"/>
  <c r="A735" i="9" s="1"/>
  <c r="A736" i="9" s="1"/>
  <c r="A737" i="9" s="1"/>
  <c r="D18" i="9"/>
  <c r="C18" i="9"/>
  <c r="B19" i="9" a="1"/>
  <c r="B19" i="9" l="1"/>
  <c r="B20" i="9" a="1"/>
  <c r="B20" i="9" l="1"/>
  <c r="D18" i="6"/>
  <c r="C18" i="6"/>
  <c r="B19" i="6" a="1"/>
  <c r="B21" i="9" a="1"/>
  <c r="B19" i="6" l="1"/>
  <c r="B21" i="6" s="1"/>
  <c r="H5" i="6"/>
  <c r="H7" i="6" s="1"/>
  <c r="B21" i="9"/>
  <c r="B22" i="9" a="1"/>
  <c r="J3" i="6" l="1"/>
  <c r="J7" i="6" s="1"/>
  <c r="H8" i="6" s="1"/>
  <c r="B22" i="9"/>
  <c r="B23" i="9" a="1"/>
  <c r="B23" i="9" l="1"/>
  <c r="B39" i="2"/>
  <c r="B50" i="2"/>
  <c r="B41" i="2"/>
  <c r="B40" i="2"/>
  <c r="F74" i="2"/>
  <c r="G74" i="2" s="1"/>
  <c r="H74" i="2" s="1"/>
  <c r="F75" i="2"/>
  <c r="G75" i="2" s="1"/>
  <c r="H75" i="2" s="1"/>
  <c r="F76" i="2"/>
  <c r="G76" i="2" s="1"/>
  <c r="H76" i="2" s="1"/>
  <c r="F77" i="2"/>
  <c r="G77" i="2" s="1"/>
  <c r="H77" i="2" s="1"/>
  <c r="F78" i="2"/>
  <c r="G78" i="2" s="1"/>
  <c r="H78" i="2" s="1"/>
  <c r="F73" i="2"/>
  <c r="G73" i="2" s="1"/>
  <c r="H73" i="2" s="1"/>
  <c r="E74" i="2"/>
  <c r="E75" i="2"/>
  <c r="E76" i="2"/>
  <c r="E77" i="2"/>
  <c r="E78" i="2"/>
  <c r="E73" i="2"/>
  <c r="C74" i="2"/>
  <c r="D74" i="2"/>
  <c r="C75" i="2"/>
  <c r="D75" i="2"/>
  <c r="C76" i="2"/>
  <c r="D76" i="2"/>
  <c r="C77" i="2"/>
  <c r="D77" i="2"/>
  <c r="C78" i="2"/>
  <c r="D78" i="2"/>
  <c r="D73" i="2"/>
  <c r="B74" i="2"/>
  <c r="B75" i="2"/>
  <c r="B76" i="2"/>
  <c r="B77" i="2"/>
  <c r="B78" i="2"/>
  <c r="C73" i="2"/>
  <c r="A74" i="2"/>
  <c r="A75" i="2"/>
  <c r="A76" i="2"/>
  <c r="A77" i="2"/>
  <c r="A78" i="2"/>
  <c r="B73" i="2"/>
  <c r="A73" i="2"/>
  <c r="B67" i="2"/>
  <c r="B44" i="2"/>
  <c r="B43" i="2"/>
  <c r="B42" i="2"/>
  <c r="B57" i="2"/>
  <c r="B58" i="2"/>
  <c r="B59" i="2"/>
  <c r="B60" i="2"/>
  <c r="B61" i="2"/>
  <c r="B56" i="2"/>
  <c r="A57" i="2"/>
  <c r="A58" i="2"/>
  <c r="A59" i="2"/>
  <c r="A60" i="2"/>
  <c r="A61" i="2"/>
  <c r="A56" i="2"/>
  <c r="A40" i="2"/>
  <c r="A41" i="2"/>
  <c r="A42" i="2"/>
  <c r="A43" i="2"/>
  <c r="A44" i="2"/>
  <c r="A39" i="2"/>
  <c r="B24" i="9" a="1"/>
  <c r="B24" i="9" l="1"/>
  <c r="H79" i="2"/>
  <c r="B21" i="2"/>
  <c r="B22" i="2" s="1"/>
  <c r="B25" i="9" a="1"/>
  <c r="B25" i="9" l="1"/>
  <c r="B48" i="2" a="1"/>
  <c r="B48" i="2" s="1"/>
  <c r="B26" i="9" a="1"/>
  <c r="B26" i="9" l="1"/>
  <c r="C59" i="2"/>
  <c r="D59" i="2" s="1"/>
  <c r="C60" i="2"/>
  <c r="D60" i="2" s="1"/>
  <c r="C61" i="2"/>
  <c r="D61" i="2" s="1"/>
  <c r="C57" i="2"/>
  <c r="D57" i="2" s="1"/>
  <c r="C58" i="2"/>
  <c r="D58" i="2" s="1"/>
  <c r="C56" i="2"/>
  <c r="D56" i="2" s="1"/>
  <c r="B27" i="9" a="1"/>
  <c r="B27" i="9" l="1"/>
  <c r="D62" i="2"/>
  <c r="B28" i="9" a="1"/>
  <c r="B28" i="9" l="1"/>
  <c r="B29" i="9" a="1"/>
  <c r="B29" i="9" l="1"/>
  <c r="B30" i="9" a="1"/>
  <c r="B30" i="9" l="1"/>
  <c r="B31" i="9" a="1"/>
  <c r="B31" i="9" l="1"/>
  <c r="B32" i="9" a="1"/>
  <c r="B32" i="9" l="1"/>
  <c r="B33" i="9" a="1"/>
  <c r="B33" i="9" l="1"/>
  <c r="B34" i="9" a="1"/>
  <c r="B34" i="9" l="1"/>
  <c r="B35" i="9" a="1"/>
  <c r="B35" i="9" l="1"/>
  <c r="B36" i="9" a="1"/>
  <c r="B36" i="9" l="1"/>
  <c r="B37" i="9" a="1"/>
  <c r="B37" i="9" l="1"/>
  <c r="B38" i="9" a="1"/>
  <c r="B38" i="9" l="1"/>
  <c r="B39" i="9" a="1"/>
  <c r="B39" i="9" l="1"/>
  <c r="B40" i="9" a="1"/>
  <c r="B40" i="9" l="1"/>
  <c r="B41" i="9" a="1"/>
  <c r="B41" i="9" l="1"/>
  <c r="B42" i="9" a="1"/>
  <c r="B42" i="9" l="1"/>
  <c r="B43" i="9" a="1"/>
  <c r="B43" i="9" l="1"/>
  <c r="B44" i="9" a="1"/>
  <c r="B44" i="9" l="1"/>
  <c r="B45" i="9" a="1"/>
  <c r="B45" i="9" l="1"/>
  <c r="B46" i="9" a="1"/>
  <c r="B46" i="9" l="1"/>
  <c r="B47" i="9" a="1"/>
  <c r="B47" i="9" l="1"/>
  <c r="B48" i="9" a="1"/>
  <c r="B48" i="9" l="1"/>
  <c r="B49" i="9" a="1"/>
  <c r="B49" i="9" l="1"/>
  <c r="B50" i="9" a="1"/>
  <c r="B50" i="9" l="1"/>
  <c r="B51" i="9" a="1"/>
  <c r="B51" i="9" l="1"/>
  <c r="B52" i="9" a="1"/>
  <c r="B52" i="9" l="1"/>
  <c r="B53" i="9" a="1"/>
  <c r="B53" i="9" l="1"/>
  <c r="B54" i="9" a="1"/>
  <c r="B54" i="9" l="1"/>
  <c r="B55" i="9" a="1"/>
  <c r="B55" i="9" l="1"/>
  <c r="B56" i="9" a="1"/>
  <c r="B56" i="9" l="1"/>
  <c r="B57" i="9" a="1"/>
  <c r="B57" i="9" l="1"/>
  <c r="B58" i="9" a="1"/>
  <c r="B58" i="9" l="1"/>
  <c r="B59" i="9" a="1"/>
  <c r="B59" i="9" l="1"/>
  <c r="B60" i="9" a="1"/>
  <c r="B60" i="9" l="1"/>
  <c r="B61" i="9" a="1"/>
  <c r="B61" i="9" l="1"/>
  <c r="B62" i="9" a="1"/>
  <c r="B62" i="9" l="1"/>
  <c r="B63" i="9" a="1"/>
  <c r="B63" i="9" l="1"/>
  <c r="B64" i="9" a="1"/>
  <c r="B64" i="9" l="1"/>
  <c r="B65" i="9" a="1"/>
  <c r="B65" i="9" l="1"/>
  <c r="B66" i="9" a="1"/>
  <c r="B66" i="9" l="1"/>
  <c r="B67" i="9" a="1"/>
  <c r="B67" i="9" l="1"/>
  <c r="B68" i="9" a="1"/>
  <c r="B68" i="9" l="1"/>
  <c r="B69" i="9" a="1"/>
  <c r="B69" i="9" l="1"/>
  <c r="B70" i="9" a="1"/>
  <c r="B70" i="9" l="1"/>
  <c r="B71" i="9" a="1"/>
  <c r="B71" i="9" l="1"/>
  <c r="B72" i="9" a="1"/>
  <c r="B72" i="9" l="1"/>
  <c r="B73" i="9" a="1"/>
  <c r="B73" i="9" l="1"/>
  <c r="B74" i="9" a="1"/>
  <c r="B74" i="9" l="1"/>
  <c r="B75" i="9" a="1"/>
  <c r="B75" i="9" l="1"/>
  <c r="B76" i="9" a="1"/>
  <c r="B76" i="9" l="1"/>
  <c r="B77" i="9" a="1"/>
  <c r="B77" i="9" l="1"/>
  <c r="B78" i="9" a="1"/>
  <c r="B78" i="9" l="1"/>
  <c r="B79" i="9" a="1"/>
  <c r="B79" i="9" l="1"/>
  <c r="B80" i="9" a="1"/>
  <c r="B80" i="9" l="1"/>
  <c r="B81" i="9" a="1"/>
  <c r="B81" i="9" l="1"/>
  <c r="B82" i="9" a="1"/>
  <c r="B82" i="9" l="1"/>
  <c r="B83" i="9" a="1"/>
  <c r="B83" i="9" l="1"/>
  <c r="B84" i="9" a="1"/>
  <c r="B84" i="9" l="1"/>
  <c r="B85" i="9" a="1"/>
  <c r="B85" i="9" l="1"/>
  <c r="B86" i="9" a="1"/>
  <c r="B86" i="9" l="1"/>
  <c r="B87" i="9" a="1"/>
  <c r="B87" i="9" l="1"/>
  <c r="B88" i="9" a="1"/>
  <c r="B88" i="9" l="1"/>
  <c r="B89" i="9" a="1"/>
  <c r="B89" i="9" l="1"/>
  <c r="B90" i="9" a="1"/>
  <c r="B90" i="9" l="1"/>
  <c r="B91" i="9" a="1"/>
  <c r="B91" i="9" l="1"/>
  <c r="B92" i="9" a="1"/>
  <c r="B92" i="9" l="1"/>
  <c r="B93" i="9" a="1"/>
  <c r="B93" i="9" l="1"/>
  <c r="B94" i="9" a="1"/>
  <c r="B94" i="9" l="1"/>
  <c r="B95" i="9" a="1"/>
  <c r="B95" i="9" l="1"/>
  <c r="B96" i="9" a="1"/>
  <c r="B96" i="9" l="1"/>
  <c r="B97" i="9" a="1"/>
  <c r="B97" i="9" l="1"/>
  <c r="B98" i="9" a="1"/>
  <c r="B98" i="9" l="1"/>
  <c r="B99" i="9" a="1"/>
  <c r="B99" i="9" l="1"/>
  <c r="B100" i="9" a="1"/>
  <c r="B100" i="9" l="1"/>
  <c r="B101" i="9" a="1"/>
  <c r="B101" i="9" l="1"/>
  <c r="B102" i="9" a="1"/>
  <c r="B102" i="9" l="1"/>
  <c r="B103" i="9" a="1"/>
  <c r="B103" i="9" l="1"/>
  <c r="B104" i="9" a="1"/>
  <c r="B104" i="9" l="1"/>
  <c r="B105" i="9" a="1"/>
  <c r="B105" i="9" l="1"/>
  <c r="B106" i="9" a="1"/>
  <c r="B106" i="9" l="1"/>
  <c r="B107" i="9" a="1"/>
  <c r="B107" i="9" l="1"/>
  <c r="B108" i="9" a="1"/>
  <c r="B108" i="9" l="1"/>
  <c r="B109" i="9" a="1"/>
  <c r="B109" i="9" l="1"/>
  <c r="B110" i="9" a="1"/>
  <c r="B110" i="9" l="1"/>
  <c r="B111" i="9" a="1"/>
  <c r="B111" i="9" l="1"/>
  <c r="B112" i="9" a="1"/>
  <c r="B112" i="9" l="1"/>
  <c r="B113" i="9" a="1"/>
  <c r="B113" i="9" l="1"/>
  <c r="B114" i="9" a="1"/>
  <c r="B114" i="9" l="1"/>
  <c r="B115" i="9" a="1"/>
  <c r="B115" i="9" l="1"/>
  <c r="B116" i="9" a="1"/>
  <c r="B116" i="9" l="1"/>
  <c r="B117" i="9" a="1"/>
  <c r="B117" i="9" l="1"/>
  <c r="B118" i="9" a="1"/>
  <c r="B118" i="9" l="1"/>
  <c r="B119" i="9" a="1"/>
  <c r="B119" i="9" l="1"/>
  <c r="B120" i="9" a="1"/>
  <c r="B120" i="9" l="1"/>
  <c r="B121" i="9" a="1"/>
  <c r="B121" i="9" l="1"/>
  <c r="B122" i="9" a="1"/>
  <c r="B122" i="9" l="1"/>
  <c r="B123" i="9" a="1"/>
  <c r="B123" i="9" l="1"/>
  <c r="B124" i="9" a="1"/>
  <c r="B124" i="9" l="1"/>
  <c r="B125" i="9" a="1"/>
  <c r="B125" i="9" l="1"/>
  <c r="B126" i="9" a="1"/>
  <c r="B126" i="9" l="1"/>
  <c r="B127" i="9" a="1"/>
  <c r="B127" i="9" l="1"/>
  <c r="B128" i="9" a="1"/>
  <c r="B128" i="9" l="1"/>
  <c r="B129" i="9" a="1"/>
  <c r="B129" i="9" l="1"/>
  <c r="B130" i="9" a="1"/>
  <c r="B130" i="9" l="1"/>
  <c r="B131" i="9" a="1"/>
  <c r="B131" i="9" l="1"/>
  <c r="B132" i="9" a="1"/>
  <c r="B132" i="9" l="1"/>
  <c r="B133" i="9" a="1"/>
  <c r="B133" i="9" l="1"/>
  <c r="B134" i="9" a="1"/>
  <c r="B134" i="9" l="1"/>
  <c r="B135" i="9" a="1"/>
  <c r="B135" i="9" l="1"/>
  <c r="B136" i="9" a="1"/>
  <c r="B136" i="9" l="1"/>
  <c r="B137" i="9" a="1"/>
  <c r="B137" i="9" l="1"/>
  <c r="B138" i="9" a="1"/>
  <c r="B138" i="9" l="1"/>
  <c r="B139" i="9" a="1"/>
  <c r="B139" i="9" l="1"/>
  <c r="B140" i="9" a="1"/>
  <c r="B140" i="9" l="1"/>
  <c r="B141" i="9" a="1"/>
  <c r="B141" i="9" l="1"/>
  <c r="B142" i="9" a="1"/>
  <c r="B142" i="9" l="1"/>
  <c r="B143" i="9" a="1"/>
  <c r="B143" i="9" l="1"/>
  <c r="B144" i="9" a="1"/>
  <c r="B144" i="9" l="1"/>
  <c r="B145" i="9" a="1"/>
  <c r="B145" i="9" l="1"/>
  <c r="B146" i="9" a="1"/>
  <c r="B146" i="9" l="1"/>
  <c r="B147" i="9" a="1"/>
  <c r="B147" i="9" l="1"/>
  <c r="B148" i="9" a="1"/>
  <c r="B148" i="9" l="1"/>
  <c r="B149" i="9" a="1"/>
  <c r="B149" i="9" l="1"/>
  <c r="B150" i="9" a="1"/>
  <c r="B150" i="9" l="1"/>
  <c r="B151" i="9" a="1"/>
  <c r="B151" i="9" l="1"/>
  <c r="B152" i="9" a="1"/>
  <c r="B152" i="9" l="1"/>
  <c r="B153" i="9" a="1"/>
  <c r="B153" i="9" l="1"/>
  <c r="B154" i="9" a="1"/>
  <c r="B154" i="9" l="1"/>
  <c r="B155" i="9" a="1"/>
  <c r="B155" i="9" l="1"/>
  <c r="B156" i="9" a="1"/>
  <c r="B156" i="9" l="1"/>
  <c r="B157" i="9" a="1"/>
  <c r="B157" i="9" l="1"/>
  <c r="B158" i="9" a="1"/>
  <c r="B158" i="9" l="1"/>
  <c r="B159" i="9" a="1"/>
  <c r="B159" i="9" l="1"/>
  <c r="B160" i="9" a="1"/>
  <c r="B160" i="9" l="1"/>
  <c r="B161" i="9" a="1"/>
  <c r="B161" i="9" l="1"/>
  <c r="B162" i="9" a="1"/>
  <c r="B162" i="9" l="1"/>
  <c r="B163" i="9" a="1"/>
  <c r="B163" i="9" l="1"/>
  <c r="B164" i="9" a="1"/>
  <c r="B164" i="9" l="1"/>
  <c r="B165" i="9" a="1"/>
  <c r="B165" i="9" l="1"/>
  <c r="B166" i="9" a="1"/>
  <c r="B166" i="9" l="1"/>
  <c r="B167" i="9" a="1"/>
  <c r="B167" i="9" l="1"/>
  <c r="B168" i="9" a="1"/>
  <c r="B168" i="9" l="1"/>
  <c r="B169" i="9" a="1"/>
  <c r="B169" i="9" l="1"/>
  <c r="B170" i="9" a="1"/>
  <c r="B170" i="9" l="1"/>
  <c r="B171" i="9" a="1"/>
  <c r="B171" i="9" l="1"/>
  <c r="B172" i="9" a="1"/>
  <c r="B172" i="9" l="1"/>
  <c r="B173" i="9" a="1"/>
  <c r="B173" i="9" l="1"/>
  <c r="B174" i="9" a="1"/>
  <c r="B174" i="9" l="1"/>
  <c r="B175" i="9" a="1"/>
  <c r="B175" i="9" l="1"/>
  <c r="B176" i="9" a="1"/>
  <c r="B176" i="9" l="1"/>
  <c r="B177" i="9" a="1"/>
  <c r="B177" i="9" l="1"/>
  <c r="B178" i="9" a="1"/>
  <c r="B178" i="9" l="1"/>
  <c r="B179" i="9" a="1"/>
  <c r="B179" i="9" l="1"/>
  <c r="B180" i="9" a="1"/>
  <c r="B180" i="9" l="1"/>
  <c r="B181" i="9" a="1"/>
  <c r="B181" i="9" l="1"/>
  <c r="B182" i="9" a="1"/>
  <c r="B182" i="9" l="1"/>
  <c r="B183" i="9" a="1"/>
  <c r="B183" i="9" l="1"/>
  <c r="B184" i="9" a="1"/>
  <c r="B184" i="9" l="1"/>
  <c r="B185" i="9" a="1"/>
  <c r="B185" i="9" l="1"/>
  <c r="B186" i="9" a="1"/>
  <c r="B186" i="9" l="1"/>
  <c r="B187" i="9" a="1"/>
  <c r="B187" i="9" l="1"/>
  <c r="B188" i="9" a="1"/>
  <c r="B188" i="9" l="1"/>
  <c r="B189" i="9" a="1"/>
  <c r="B189" i="9" l="1"/>
  <c r="B190" i="9" a="1"/>
  <c r="B190" i="9" l="1"/>
  <c r="B191" i="9" a="1"/>
  <c r="B191" i="9" l="1"/>
  <c r="B192" i="9" a="1"/>
  <c r="B192" i="9" l="1"/>
  <c r="B193" i="9" a="1"/>
  <c r="B193" i="9" l="1"/>
  <c r="B194" i="9" a="1"/>
  <c r="B194" i="9" l="1"/>
  <c r="B195" i="9" a="1"/>
  <c r="B195" i="9" l="1"/>
  <c r="B196" i="9" a="1"/>
  <c r="B196" i="9" l="1"/>
  <c r="B197" i="9" a="1"/>
  <c r="B197" i="9" l="1"/>
  <c r="B198" i="9" a="1"/>
  <c r="B198" i="9" l="1"/>
  <c r="B199" i="9" a="1"/>
  <c r="B199" i="9" l="1"/>
  <c r="B200" i="9" a="1"/>
  <c r="B200" i="9" l="1"/>
  <c r="B201" i="9" a="1"/>
  <c r="B201" i="9" l="1"/>
  <c r="B202" i="9" a="1"/>
  <c r="B202" i="9" l="1"/>
  <c r="B203" i="9" a="1"/>
  <c r="B203" i="9" l="1"/>
  <c r="B204" i="9" a="1"/>
  <c r="B204" i="9" l="1"/>
  <c r="B205" i="9" a="1"/>
  <c r="B205" i="9" l="1"/>
  <c r="B206" i="9" a="1"/>
  <c r="B206" i="9" l="1"/>
  <c r="B207" i="9" a="1"/>
  <c r="B207" i="9" l="1"/>
  <c r="B208" i="9" a="1"/>
  <c r="B208" i="9" l="1"/>
  <c r="B209" i="9" a="1"/>
  <c r="B209" i="9" l="1"/>
  <c r="B210" i="9" a="1"/>
  <c r="B210" i="9" l="1"/>
  <c r="B211" i="9" a="1"/>
  <c r="B211" i="9" l="1"/>
  <c r="B212" i="9" a="1"/>
  <c r="B212" i="9" l="1"/>
  <c r="B213" i="9" a="1"/>
  <c r="B213" i="9" l="1"/>
  <c r="B214" i="9" a="1"/>
  <c r="B214" i="9" l="1"/>
  <c r="B215" i="9" a="1"/>
  <c r="B215" i="9" l="1"/>
  <c r="B216" i="9" a="1"/>
  <c r="B216" i="9" l="1"/>
  <c r="B217" i="9" a="1"/>
  <c r="B217" i="9" l="1"/>
  <c r="B218" i="9" a="1"/>
  <c r="B218" i="9" l="1"/>
  <c r="B219" i="9" a="1"/>
  <c r="B219" i="9" l="1"/>
  <c r="B220" i="9" a="1"/>
  <c r="B220" i="9" l="1"/>
  <c r="B221" i="9" a="1"/>
  <c r="B221" i="9" l="1"/>
  <c r="B222" i="9" a="1"/>
  <c r="B222" i="9" l="1"/>
  <c r="B223" i="9" a="1"/>
  <c r="B223" i="9" l="1"/>
  <c r="B224" i="9" a="1"/>
  <c r="B224" i="9" l="1"/>
  <c r="B225" i="9" a="1"/>
  <c r="B225" i="9" l="1"/>
  <c r="B226" i="9" a="1"/>
  <c r="B226" i="9" l="1"/>
  <c r="B227" i="9" a="1"/>
  <c r="B227" i="9" l="1"/>
  <c r="B228" i="9" a="1"/>
  <c r="B228" i="9" l="1"/>
  <c r="B229" i="9" a="1"/>
  <c r="B229" i="9" l="1"/>
  <c r="B230" i="9" a="1"/>
  <c r="B230" i="9" l="1"/>
  <c r="B231" i="9" a="1"/>
  <c r="B231" i="9" l="1"/>
  <c r="B232" i="9" a="1"/>
  <c r="B232" i="9" l="1"/>
  <c r="B233" i="9" a="1"/>
  <c r="B233" i="9" l="1"/>
  <c r="B234" i="9" a="1"/>
  <c r="B234" i="9" l="1"/>
  <c r="B235" i="9" a="1"/>
  <c r="B235" i="9" l="1"/>
  <c r="B236" i="9" a="1"/>
  <c r="B236" i="9" l="1"/>
  <c r="B237" i="9" a="1"/>
  <c r="B237" i="9" l="1"/>
  <c r="B238" i="9" a="1"/>
  <c r="B238" i="9" l="1"/>
  <c r="B239" i="9" a="1"/>
  <c r="B239" i="9" l="1"/>
  <c r="B240" i="9" a="1"/>
  <c r="B240" i="9" l="1"/>
  <c r="B241" i="9" a="1"/>
  <c r="B241" i="9" l="1"/>
  <c r="B242" i="9" a="1"/>
  <c r="B242" i="9" l="1"/>
  <c r="B243" i="9" a="1"/>
  <c r="B243" i="9" l="1"/>
  <c r="B244" i="9" a="1"/>
  <c r="B244" i="9" l="1"/>
  <c r="B245" i="9" a="1"/>
  <c r="B245" i="9" l="1"/>
  <c r="B246" i="9" a="1"/>
  <c r="B246" i="9" l="1"/>
  <c r="B247" i="9" a="1"/>
  <c r="B247" i="9" l="1"/>
  <c r="B248" i="9" a="1"/>
  <c r="B248" i="9" l="1"/>
  <c r="B249" i="9" a="1"/>
  <c r="B249" i="9" l="1"/>
  <c r="B250" i="9" a="1"/>
  <c r="B250" i="9" l="1"/>
  <c r="B251" i="9" a="1"/>
  <c r="B251" i="9" l="1"/>
  <c r="B252" i="9" a="1"/>
  <c r="B252" i="9" l="1"/>
  <c r="B253" i="9" a="1"/>
  <c r="B253" i="9" l="1"/>
  <c r="B254" i="9" a="1"/>
  <c r="B254" i="9" l="1"/>
  <c r="B255" i="9" a="1"/>
  <c r="B255" i="9" l="1"/>
  <c r="B256" i="9" a="1"/>
  <c r="B256" i="9" l="1"/>
  <c r="B257" i="9" a="1"/>
  <c r="B257" i="9" l="1"/>
  <c r="B258" i="9" a="1"/>
  <c r="B258" i="9" l="1"/>
  <c r="B259" i="9" a="1"/>
  <c r="B259" i="9" l="1"/>
  <c r="B260" i="9" a="1"/>
  <c r="B260" i="9" l="1"/>
  <c r="B261" i="9" a="1"/>
  <c r="B261" i="9" l="1"/>
  <c r="B262" i="9" a="1"/>
  <c r="B262" i="9" l="1"/>
  <c r="B263" i="9" a="1"/>
  <c r="B263" i="9" l="1"/>
  <c r="B264" i="9" a="1"/>
  <c r="B264" i="9" l="1"/>
  <c r="B265" i="9" a="1"/>
  <c r="B265" i="9" l="1"/>
  <c r="B266" i="9" a="1"/>
  <c r="B266" i="9" l="1"/>
  <c r="B267" i="9" a="1"/>
  <c r="B267" i="9" l="1"/>
  <c r="B268" i="9" a="1"/>
  <c r="B268" i="9" l="1"/>
  <c r="B269" i="9" a="1"/>
  <c r="B269" i="9" l="1"/>
  <c r="B270" i="9" a="1"/>
  <c r="B270" i="9" l="1"/>
  <c r="B271" i="9" a="1"/>
  <c r="B271" i="9" l="1"/>
  <c r="B272" i="9" a="1"/>
  <c r="B272" i="9" l="1"/>
  <c r="B273" i="9" a="1"/>
  <c r="B273" i="9" l="1"/>
  <c r="B274" i="9" a="1"/>
  <c r="B274" i="9" l="1"/>
  <c r="B275" i="9" a="1"/>
  <c r="B275" i="9" l="1"/>
  <c r="B276" i="9" a="1"/>
  <c r="B276" i="9" l="1"/>
  <c r="B277" i="9" a="1"/>
  <c r="B277" i="9" l="1"/>
  <c r="B278" i="9" a="1"/>
  <c r="B278" i="9" l="1"/>
  <c r="B279" i="9" a="1"/>
  <c r="B279" i="9" l="1"/>
  <c r="B280" i="9" a="1"/>
  <c r="B280" i="9" l="1"/>
  <c r="B281" i="9" a="1"/>
  <c r="B281" i="9" l="1"/>
  <c r="B282" i="9" a="1"/>
  <c r="B282" i="9" l="1"/>
  <c r="B283" i="9" a="1"/>
  <c r="B283" i="9" l="1"/>
  <c r="B284" i="9" a="1"/>
  <c r="B284" i="9" l="1"/>
  <c r="B285" i="9" a="1"/>
  <c r="B285" i="9" l="1"/>
  <c r="B286" i="9" a="1"/>
  <c r="B286" i="9" l="1"/>
  <c r="B287" i="9" a="1"/>
  <c r="B287" i="9" l="1"/>
  <c r="B288" i="9" a="1"/>
  <c r="B288" i="9" l="1"/>
  <c r="B289" i="9" a="1"/>
  <c r="B289" i="9" l="1"/>
  <c r="B290" i="9" a="1"/>
  <c r="B290" i="9" l="1"/>
  <c r="B291" i="9" a="1"/>
  <c r="B291" i="9" l="1"/>
  <c r="B292" i="9" a="1"/>
  <c r="B292" i="9" l="1"/>
  <c r="B293" i="9" a="1"/>
  <c r="B293" i="9" l="1"/>
  <c r="B294" i="9" a="1"/>
  <c r="B294" i="9" l="1"/>
  <c r="B295" i="9" a="1"/>
  <c r="B295" i="9" l="1"/>
  <c r="B296" i="9" a="1"/>
  <c r="B296" i="9" l="1"/>
  <c r="B297" i="9" a="1"/>
  <c r="B297" i="9" l="1"/>
  <c r="B298" i="9" a="1"/>
  <c r="B298" i="9" l="1"/>
  <c r="B299" i="9" a="1"/>
  <c r="B299" i="9" l="1"/>
  <c r="B300" i="9" a="1"/>
  <c r="B300" i="9" l="1"/>
  <c r="B301" i="9" a="1"/>
  <c r="B301" i="9" l="1"/>
  <c r="B302" i="9" a="1"/>
  <c r="B302" i="9" l="1"/>
  <c r="B303" i="9" a="1"/>
  <c r="B303" i="9" l="1"/>
  <c r="B304" i="9" a="1"/>
  <c r="B304" i="9" l="1"/>
  <c r="B305" i="9" a="1"/>
  <c r="B305" i="9" l="1"/>
  <c r="B306" i="9" a="1"/>
  <c r="B306" i="9" l="1"/>
  <c r="B307" i="9" a="1"/>
  <c r="B307" i="9" l="1"/>
  <c r="B308" i="9" a="1"/>
  <c r="B308" i="9" l="1"/>
  <c r="B309" i="9" a="1"/>
  <c r="B309" i="9" l="1"/>
  <c r="B310" i="9" a="1"/>
  <c r="B310" i="9" l="1"/>
  <c r="B311" i="9" a="1"/>
  <c r="B311" i="9" l="1"/>
  <c r="B312" i="9" a="1"/>
  <c r="B312" i="9" l="1"/>
  <c r="B313" i="9" a="1"/>
  <c r="B313" i="9" l="1"/>
  <c r="B314" i="9" a="1"/>
  <c r="B314" i="9" l="1"/>
  <c r="B315" i="9" a="1"/>
  <c r="B315" i="9" l="1"/>
  <c r="B316" i="9" a="1"/>
  <c r="B316" i="9" l="1"/>
  <c r="B317" i="9" a="1"/>
  <c r="B317" i="9" l="1"/>
  <c r="B318" i="9" a="1"/>
  <c r="B318" i="9" l="1"/>
  <c r="B319" i="9" a="1"/>
  <c r="B319" i="9" l="1"/>
  <c r="B320" i="9" a="1"/>
  <c r="B320" i="9" l="1"/>
  <c r="B321" i="9" a="1"/>
  <c r="B321" i="9" l="1"/>
  <c r="B322" i="9" a="1"/>
  <c r="B322" i="9" l="1"/>
  <c r="B323" i="9" a="1"/>
  <c r="B323" i="9" l="1"/>
  <c r="B324" i="9" a="1"/>
  <c r="B324" i="9" l="1"/>
  <c r="B325" i="9" a="1"/>
  <c r="B325" i="9" l="1"/>
  <c r="B326" i="9" a="1"/>
  <c r="B326" i="9" l="1"/>
  <c r="B327" i="9" a="1"/>
  <c r="B327" i="9" l="1"/>
  <c r="B328" i="9" a="1"/>
  <c r="B328" i="9" l="1"/>
  <c r="B329" i="9" a="1"/>
  <c r="B329" i="9" l="1"/>
  <c r="B330" i="9" a="1"/>
  <c r="B330" i="9" l="1"/>
  <c r="B331" i="9" a="1"/>
  <c r="B331" i="9" l="1"/>
  <c r="B332" i="9" a="1"/>
  <c r="B332" i="9" l="1"/>
  <c r="B333" i="9" a="1"/>
  <c r="B333" i="9" l="1"/>
  <c r="B334" i="9" a="1"/>
  <c r="B334" i="9" l="1"/>
  <c r="B335" i="9" a="1"/>
  <c r="B335" i="9" l="1"/>
  <c r="B336" i="9" a="1"/>
  <c r="B336" i="9" l="1"/>
  <c r="B337" i="9" a="1"/>
  <c r="B337" i="9" l="1"/>
  <c r="B338" i="9" a="1"/>
  <c r="B338" i="9" l="1"/>
  <c r="B339" i="9" a="1"/>
  <c r="B339" i="9" l="1"/>
  <c r="B340" i="9" a="1"/>
  <c r="B340" i="9" l="1"/>
  <c r="B341" i="9" a="1"/>
  <c r="B341" i="9" l="1"/>
  <c r="B342" i="9" a="1"/>
  <c r="B342" i="9" l="1"/>
  <c r="B343" i="9" a="1"/>
  <c r="B343" i="9" l="1"/>
  <c r="B344" i="9" a="1"/>
  <c r="B344" i="9" l="1"/>
  <c r="B345" i="9" a="1"/>
  <c r="B345" i="9" l="1"/>
  <c r="B346" i="9" a="1"/>
  <c r="B346" i="9" l="1"/>
  <c r="B347" i="9" a="1"/>
  <c r="B347" i="9" l="1"/>
  <c r="B348" i="9" a="1"/>
  <c r="B348" i="9" l="1"/>
  <c r="B349" i="9" a="1"/>
  <c r="B349" i="9" l="1"/>
  <c r="B350" i="9" a="1"/>
  <c r="B350" i="9" l="1"/>
  <c r="B351" i="9" a="1"/>
  <c r="B351" i="9" l="1"/>
  <c r="B352" i="9" a="1"/>
  <c r="B352" i="9" l="1"/>
  <c r="B353" i="9" a="1"/>
  <c r="B353" i="9" l="1"/>
  <c r="B354" i="9" a="1"/>
  <c r="B354" i="9" l="1"/>
  <c r="B355" i="9" a="1"/>
  <c r="B355" i="9" l="1"/>
  <c r="B356" i="9" a="1"/>
  <c r="B356" i="9" l="1"/>
  <c r="B357" i="9" a="1"/>
  <c r="B357" i="9" l="1"/>
  <c r="B358" i="9" a="1"/>
  <c r="B358" i="9" l="1"/>
  <c r="B359" i="9" a="1"/>
  <c r="B359" i="9" l="1"/>
  <c r="B360" i="9" a="1"/>
  <c r="B360" i="9" l="1"/>
  <c r="B361" i="9" a="1"/>
  <c r="B361" i="9" l="1"/>
  <c r="B362" i="9" a="1"/>
  <c r="B362" i="9" l="1"/>
  <c r="B363" i="9" a="1"/>
  <c r="B363" i="9" l="1"/>
  <c r="B364" i="9" a="1"/>
  <c r="B364" i="9" l="1"/>
  <c r="B365" i="9" a="1"/>
  <c r="B365" i="9" l="1"/>
  <c r="B366" i="9" a="1"/>
  <c r="B366" i="9" l="1"/>
  <c r="B367" i="9" a="1"/>
  <c r="B367" i="9" l="1"/>
  <c r="B368" i="9" a="1"/>
  <c r="B368" i="9" l="1"/>
  <c r="B369" i="9" a="1"/>
  <c r="B369" i="9" l="1"/>
  <c r="B370" i="9" a="1"/>
  <c r="B370" i="9" l="1"/>
  <c r="B371" i="9" a="1"/>
  <c r="B371" i="9" l="1"/>
  <c r="B372" i="9" a="1"/>
  <c r="B372" i="9" l="1"/>
  <c r="B373" i="9" a="1"/>
  <c r="B373" i="9" l="1"/>
  <c r="B374" i="9" a="1"/>
  <c r="B374" i="9" l="1"/>
  <c r="B375" i="9" a="1"/>
  <c r="B375" i="9" l="1"/>
  <c r="B376" i="9" a="1"/>
  <c r="B376" i="9" l="1"/>
  <c r="B377" i="9" a="1"/>
  <c r="B377" i="9" l="1"/>
  <c r="B378" i="9" a="1"/>
  <c r="B378" i="9" l="1"/>
  <c r="B379" i="9" a="1"/>
  <c r="B379" i="9" l="1"/>
  <c r="B380" i="9" a="1"/>
  <c r="B380" i="9" l="1"/>
  <c r="B381" i="9" a="1"/>
  <c r="B381" i="9" l="1"/>
  <c r="B382" i="9" a="1"/>
  <c r="B382" i="9" l="1"/>
  <c r="B383" i="9" a="1"/>
  <c r="B383" i="9" l="1"/>
  <c r="B384" i="9" a="1"/>
  <c r="B384" i="9" l="1"/>
  <c r="B385" i="9" a="1"/>
  <c r="B385" i="9" l="1"/>
  <c r="B386" i="9" a="1"/>
  <c r="B386" i="9" l="1"/>
  <c r="B387" i="9" a="1"/>
  <c r="B387" i="9" l="1"/>
  <c r="B388" i="9" a="1"/>
  <c r="B388" i="9" l="1"/>
  <c r="B389" i="9" a="1"/>
  <c r="B389" i="9" l="1"/>
  <c r="B390" i="9" a="1"/>
  <c r="B390" i="9" l="1"/>
  <c r="B391" i="9" a="1"/>
  <c r="B391" i="9" l="1"/>
  <c r="B392" i="9" a="1"/>
  <c r="B392" i="9" l="1"/>
  <c r="B393" i="9" a="1"/>
  <c r="B393" i="9" l="1"/>
  <c r="B394" i="9" a="1"/>
  <c r="B394" i="9" l="1"/>
  <c r="B395" i="9" a="1"/>
  <c r="B395" i="9" l="1"/>
  <c r="B396" i="9" a="1"/>
  <c r="B396" i="9" l="1"/>
  <c r="B397" i="9" a="1"/>
  <c r="B397" i="9" l="1"/>
  <c r="B398" i="9" a="1"/>
  <c r="B398" i="9" l="1"/>
  <c r="B399" i="9" a="1"/>
  <c r="B399" i="9" l="1"/>
  <c r="B400" i="9" a="1"/>
  <c r="B400" i="9" l="1"/>
  <c r="B401" i="9" a="1"/>
  <c r="B401" i="9" l="1"/>
  <c r="B402" i="9" a="1"/>
  <c r="B402" i="9" l="1"/>
  <c r="B403" i="9" a="1"/>
  <c r="B403" i="9" l="1"/>
  <c r="B404" i="9" a="1"/>
  <c r="B404" i="9" l="1"/>
  <c r="B405" i="9" a="1"/>
  <c r="B405" i="9" l="1"/>
  <c r="B406" i="9" a="1"/>
  <c r="B406" i="9" l="1"/>
  <c r="B407" i="9" a="1"/>
  <c r="B407" i="9" l="1"/>
  <c r="B408" i="9" a="1"/>
  <c r="B408" i="9" l="1"/>
  <c r="B409" i="9" a="1"/>
  <c r="B409" i="9" l="1"/>
  <c r="B410" i="9" a="1"/>
  <c r="B410" i="9" l="1"/>
  <c r="B411" i="9" a="1"/>
  <c r="B411" i="9" l="1"/>
  <c r="B412" i="9" a="1"/>
  <c r="B412" i="9" l="1"/>
  <c r="B413" i="9" a="1"/>
  <c r="B413" i="9" l="1"/>
  <c r="B414" i="9" a="1"/>
  <c r="B414" i="9" l="1"/>
  <c r="B415" i="9" a="1"/>
  <c r="B415" i="9" l="1"/>
  <c r="B416" i="9" a="1"/>
  <c r="B416" i="9" l="1"/>
  <c r="B417" i="9" a="1"/>
  <c r="B417" i="9" l="1"/>
  <c r="B418" i="9" a="1"/>
  <c r="B418" i="9" l="1"/>
  <c r="B419" i="9" a="1"/>
  <c r="B419" i="9" l="1"/>
  <c r="B420" i="9" a="1"/>
  <c r="B420" i="9" l="1"/>
  <c r="B421" i="9" a="1"/>
  <c r="B421" i="9" l="1"/>
  <c r="B422" i="9" a="1"/>
  <c r="B422" i="9" l="1"/>
  <c r="B423" i="9" a="1"/>
  <c r="B423" i="9" l="1"/>
  <c r="B424" i="9" a="1"/>
  <c r="B424" i="9" l="1"/>
  <c r="B425" i="9" a="1"/>
  <c r="B425" i="9" l="1"/>
  <c r="B426" i="9" a="1"/>
  <c r="B426" i="9" l="1"/>
  <c r="B427" i="9" a="1"/>
  <c r="B427" i="9" l="1"/>
  <c r="B428" i="9" a="1"/>
  <c r="B428" i="9" l="1"/>
  <c r="B429" i="9" a="1"/>
  <c r="B429" i="9" l="1"/>
  <c r="B430" i="9" a="1"/>
  <c r="B430" i="9" l="1"/>
  <c r="B431" i="9" a="1"/>
  <c r="B431" i="9" l="1"/>
  <c r="B432" i="9" a="1"/>
  <c r="B432" i="9" l="1"/>
  <c r="B433" i="9" a="1"/>
  <c r="B433" i="9" l="1"/>
  <c r="B434" i="9" a="1"/>
  <c r="B434" i="9" l="1"/>
  <c r="B435" i="9" a="1"/>
  <c r="B435" i="9" l="1"/>
  <c r="B436" i="9" a="1"/>
  <c r="B436" i="9" l="1"/>
  <c r="B437" i="9" a="1"/>
  <c r="B437" i="9" l="1"/>
  <c r="B438" i="9" a="1"/>
  <c r="B438" i="9" l="1"/>
  <c r="B439" i="9" a="1"/>
  <c r="B439" i="9" l="1"/>
  <c r="B440" i="9" a="1"/>
  <c r="B440" i="9" l="1"/>
  <c r="B441" i="9" a="1"/>
  <c r="B441" i="9" l="1"/>
  <c r="B442" i="9" a="1"/>
  <c r="B442" i="9" l="1"/>
  <c r="B443" i="9" a="1"/>
  <c r="B443" i="9" l="1"/>
  <c r="B444" i="9" a="1"/>
  <c r="B444" i="9" l="1"/>
  <c r="B445" i="9" a="1"/>
  <c r="B445" i="9" l="1"/>
  <c r="B446" i="9" a="1"/>
  <c r="B446" i="9" l="1"/>
  <c r="B447" i="9" a="1"/>
  <c r="B447" i="9" l="1"/>
  <c r="B448" i="9" a="1"/>
  <c r="B448" i="9" l="1"/>
  <c r="B449" i="9" a="1"/>
  <c r="B449" i="9" l="1"/>
  <c r="B450" i="9" a="1"/>
  <c r="B450" i="9" l="1"/>
  <c r="B451" i="9" a="1"/>
  <c r="B451" i="9" l="1"/>
  <c r="B452" i="9" a="1"/>
  <c r="B452" i="9" l="1"/>
  <c r="B453" i="9" a="1"/>
  <c r="B453" i="9" l="1"/>
  <c r="B454" i="9" a="1"/>
  <c r="B454" i="9" l="1"/>
  <c r="B455" i="9" a="1"/>
  <c r="B455" i="9" l="1"/>
  <c r="B456" i="9" a="1"/>
  <c r="B456" i="9" l="1"/>
  <c r="B457" i="9" a="1"/>
  <c r="B457" i="9" l="1"/>
  <c r="B458" i="9" a="1"/>
  <c r="B458" i="9" l="1"/>
  <c r="B459" i="9" a="1"/>
  <c r="B459" i="9" l="1"/>
  <c r="B460" i="9" a="1"/>
  <c r="B460" i="9" l="1"/>
  <c r="B461" i="9" a="1"/>
  <c r="B461" i="9" l="1"/>
  <c r="B462" i="9" a="1"/>
  <c r="B462" i="9" l="1"/>
  <c r="B463" i="9" a="1"/>
  <c r="B463" i="9" l="1"/>
  <c r="B464" i="9" a="1"/>
  <c r="B464" i="9" l="1"/>
  <c r="B465" i="9" a="1"/>
  <c r="B465" i="9" l="1"/>
  <c r="B466" i="9" a="1"/>
  <c r="B466" i="9" l="1"/>
  <c r="B467" i="9" a="1"/>
  <c r="B467" i="9" l="1"/>
  <c r="B468" i="9" a="1"/>
  <c r="B468" i="9" l="1"/>
  <c r="B469" i="9" a="1"/>
  <c r="B469" i="9" l="1"/>
  <c r="B470" i="9" a="1"/>
  <c r="B470" i="9" l="1"/>
  <c r="B471" i="9" a="1"/>
  <c r="B471" i="9" l="1"/>
  <c r="B472" i="9" a="1"/>
  <c r="B472" i="9" l="1"/>
  <c r="B473" i="9" a="1"/>
  <c r="B473" i="9" l="1"/>
  <c r="B474" i="9" a="1"/>
  <c r="B474" i="9" l="1"/>
  <c r="B475" i="9" a="1"/>
  <c r="B475" i="9" l="1"/>
  <c r="B476" i="9" a="1"/>
  <c r="B476" i="9" l="1"/>
  <c r="B477" i="9" a="1"/>
  <c r="B477" i="9" l="1"/>
  <c r="B478" i="9" a="1"/>
  <c r="B478" i="9" l="1"/>
  <c r="B479" i="9" a="1"/>
  <c r="B479" i="9" l="1"/>
  <c r="B480" i="9" a="1"/>
  <c r="B480" i="9" l="1"/>
  <c r="B481" i="9" a="1"/>
  <c r="B481" i="9" l="1"/>
  <c r="B482" i="9" a="1"/>
  <c r="B482" i="9" l="1"/>
  <c r="B483" i="9" a="1"/>
  <c r="B483" i="9" l="1"/>
  <c r="B484" i="9" a="1"/>
  <c r="B484" i="9" l="1"/>
  <c r="B485" i="9" a="1"/>
  <c r="B485" i="9" l="1"/>
  <c r="B486" i="9" a="1"/>
  <c r="B486" i="9" l="1"/>
  <c r="B487" i="9" a="1"/>
  <c r="B487" i="9" l="1"/>
  <c r="B488" i="9" a="1"/>
  <c r="B488" i="9" l="1"/>
  <c r="B489" i="9" a="1"/>
  <c r="B489" i="9" l="1"/>
  <c r="B490" i="9" a="1"/>
  <c r="B490" i="9" l="1"/>
  <c r="B491" i="9" a="1"/>
  <c r="B491" i="9" l="1"/>
  <c r="B492" i="9" a="1"/>
  <c r="B492" i="9" l="1"/>
  <c r="B493" i="9" a="1"/>
  <c r="B493" i="9" l="1"/>
  <c r="B494" i="9" a="1"/>
  <c r="B494" i="9" l="1"/>
  <c r="B495" i="9" a="1"/>
  <c r="B495" i="9" l="1"/>
  <c r="B496" i="9" a="1"/>
  <c r="B496" i="9" l="1"/>
  <c r="B497" i="9" a="1"/>
  <c r="B497" i="9" l="1"/>
  <c r="B498" i="9" a="1"/>
  <c r="B498" i="9" l="1"/>
  <c r="B499" i="9" a="1"/>
  <c r="B499" i="9" l="1"/>
  <c r="B500" i="9" a="1"/>
  <c r="B500" i="9" l="1"/>
  <c r="B501" i="9" a="1"/>
  <c r="B501" i="9" l="1"/>
  <c r="B502" i="9" a="1"/>
  <c r="B502" i="9" l="1"/>
  <c r="B503" i="9" a="1"/>
  <c r="B503" i="9" l="1"/>
  <c r="B504" i="9" a="1"/>
  <c r="B504" i="9" l="1"/>
  <c r="B505" i="9" a="1"/>
  <c r="B505" i="9" l="1"/>
  <c r="B506" i="9" a="1"/>
  <c r="B506" i="9" l="1"/>
  <c r="B507" i="9" a="1"/>
  <c r="B507" i="9" l="1"/>
  <c r="B508" i="9" a="1"/>
  <c r="B508" i="9" l="1"/>
  <c r="B509" i="9" a="1"/>
  <c r="B509" i="9" l="1"/>
  <c r="B510" i="9" a="1"/>
  <c r="B510" i="9" l="1"/>
  <c r="B511" i="9" a="1"/>
  <c r="B511" i="9" l="1"/>
  <c r="B512" i="9" a="1"/>
  <c r="B512" i="9" l="1"/>
  <c r="B513" i="9" a="1"/>
  <c r="B513" i="9" l="1"/>
  <c r="B514" i="9" a="1"/>
  <c r="B514" i="9" l="1"/>
  <c r="B515" i="9" a="1"/>
  <c r="B515" i="9" l="1"/>
  <c r="B516" i="9" a="1"/>
  <c r="B516" i="9" l="1"/>
  <c r="B517" i="9" a="1"/>
  <c r="B517" i="9" l="1"/>
  <c r="B518" i="9" a="1"/>
  <c r="B518" i="9" l="1"/>
  <c r="B519" i="9" a="1"/>
  <c r="B519" i="9" l="1"/>
  <c r="B520" i="9" a="1"/>
  <c r="B520" i="9" l="1"/>
  <c r="B521" i="9" a="1"/>
  <c r="B521" i="9" l="1"/>
  <c r="B522" i="9" a="1"/>
  <c r="B522" i="9" l="1"/>
  <c r="B523" i="9" a="1"/>
  <c r="B523" i="9" l="1"/>
  <c r="B524" i="9" a="1"/>
  <c r="B524" i="9" l="1"/>
  <c r="B525" i="9" a="1"/>
  <c r="B525" i="9" l="1"/>
  <c r="B526" i="9" a="1"/>
  <c r="B526" i="9" l="1"/>
  <c r="B527" i="9" a="1"/>
  <c r="B527" i="9" l="1"/>
  <c r="B528" i="9" a="1"/>
  <c r="B528" i="9" l="1"/>
  <c r="B529" i="9" a="1"/>
  <c r="B529" i="9" l="1"/>
  <c r="B530" i="9" a="1"/>
  <c r="B530" i="9" l="1"/>
  <c r="B531" i="9" a="1"/>
  <c r="B531" i="9" l="1"/>
  <c r="B532" i="9" a="1"/>
  <c r="B532" i="9" l="1"/>
  <c r="B533" i="9" a="1"/>
  <c r="B533" i="9" l="1"/>
  <c r="B534" i="9" a="1"/>
  <c r="B534" i="9" l="1"/>
  <c r="B535" i="9" a="1"/>
  <c r="B535" i="9" l="1"/>
  <c r="B536" i="9" a="1"/>
  <c r="B536" i="9" l="1"/>
  <c r="B537" i="9" a="1"/>
  <c r="B537" i="9" l="1"/>
  <c r="B538" i="9" a="1"/>
  <c r="B538" i="9" l="1"/>
  <c r="B539" i="9" a="1"/>
  <c r="B539" i="9" l="1"/>
  <c r="B540" i="9" a="1"/>
  <c r="B540" i="9" l="1"/>
  <c r="B541" i="9" a="1"/>
  <c r="B541" i="9" l="1"/>
  <c r="B542" i="9" a="1"/>
  <c r="B542" i="9" l="1"/>
  <c r="B543" i="9" a="1"/>
  <c r="B543" i="9" l="1"/>
  <c r="B544" i="9" a="1"/>
  <c r="B544" i="9" l="1"/>
  <c r="B545" i="9" a="1"/>
  <c r="B545" i="9" l="1"/>
  <c r="B546" i="9" a="1"/>
  <c r="B546" i="9" l="1"/>
  <c r="B547" i="9" a="1"/>
  <c r="B547" i="9" l="1"/>
  <c r="B548" i="9" a="1"/>
  <c r="B548" i="9" l="1"/>
  <c r="B549" i="9" a="1"/>
  <c r="B549" i="9" l="1"/>
  <c r="B550" i="9" a="1"/>
  <c r="B550" i="9" l="1"/>
  <c r="B551" i="9" a="1"/>
  <c r="B551" i="9" l="1"/>
  <c r="B552" i="9" a="1"/>
  <c r="B552" i="9" l="1"/>
  <c r="B553" i="9" a="1"/>
  <c r="B553" i="9" l="1"/>
  <c r="B554" i="9" a="1"/>
  <c r="B554" i="9" l="1"/>
  <c r="B555" i="9" a="1"/>
  <c r="B555" i="9" l="1"/>
  <c r="B556" i="9" a="1"/>
  <c r="B556" i="9" l="1"/>
  <c r="B557" i="9" a="1"/>
  <c r="B557" i="9" l="1"/>
  <c r="B558" i="9" a="1"/>
  <c r="B558" i="9" l="1"/>
  <c r="B559" i="9" a="1"/>
  <c r="B559" i="9" l="1"/>
  <c r="B560" i="9" a="1"/>
  <c r="B560" i="9" l="1"/>
  <c r="B561" i="9" a="1"/>
  <c r="B561" i="9" l="1"/>
  <c r="B562" i="9" a="1"/>
  <c r="B562" i="9" l="1"/>
  <c r="B563" i="9" a="1"/>
  <c r="B563" i="9" l="1"/>
  <c r="B564" i="9" a="1"/>
  <c r="B564" i="9" l="1"/>
  <c r="B565" i="9" a="1"/>
  <c r="B565" i="9" l="1"/>
  <c r="B566" i="9" a="1"/>
  <c r="B566" i="9" l="1"/>
  <c r="B567" i="9" a="1"/>
  <c r="B567" i="9" l="1"/>
  <c r="B568" i="9" a="1"/>
  <c r="B568" i="9" l="1"/>
  <c r="B569" i="9" a="1"/>
  <c r="B569" i="9" l="1"/>
  <c r="B570" i="9" a="1"/>
  <c r="B570" i="9" l="1"/>
  <c r="B571" i="9" a="1"/>
  <c r="B571" i="9" l="1"/>
  <c r="B572" i="9" a="1"/>
  <c r="B572" i="9" l="1"/>
  <c r="B573" i="9" a="1"/>
  <c r="B573" i="9" l="1"/>
  <c r="B574" i="9" a="1"/>
  <c r="B574" i="9" l="1"/>
  <c r="B575" i="9" a="1"/>
  <c r="B575" i="9" l="1"/>
  <c r="B576" i="9" a="1"/>
  <c r="B576" i="9" l="1"/>
  <c r="B577" i="9" a="1"/>
  <c r="B577" i="9" l="1"/>
  <c r="B578" i="9" a="1"/>
  <c r="B578" i="9" l="1"/>
  <c r="B579" i="9" a="1"/>
  <c r="B579" i="9" l="1"/>
  <c r="B580" i="9" a="1"/>
  <c r="B580" i="9" l="1"/>
  <c r="B581" i="9" a="1"/>
  <c r="B581" i="9" l="1"/>
  <c r="B582" i="9" a="1"/>
  <c r="B582" i="9" l="1"/>
  <c r="B583" i="9" a="1"/>
  <c r="B583" i="9" l="1"/>
  <c r="B584" i="9" a="1"/>
  <c r="B584" i="9" l="1"/>
  <c r="B585" i="9" a="1"/>
  <c r="B585" i="9" l="1"/>
  <c r="B586" i="9" a="1"/>
  <c r="B586" i="9" l="1"/>
  <c r="B587" i="9" a="1"/>
  <c r="B587" i="9" l="1"/>
  <c r="B588" i="9" a="1"/>
  <c r="B588" i="9" l="1"/>
  <c r="B589" i="9" a="1"/>
  <c r="B589" i="9" l="1"/>
  <c r="B590" i="9" a="1"/>
  <c r="B590" i="9" l="1"/>
  <c r="B591" i="9" a="1"/>
  <c r="B591" i="9" l="1"/>
  <c r="B592" i="9" a="1"/>
  <c r="B592" i="9" l="1"/>
  <c r="B593" i="9" a="1"/>
  <c r="B593" i="9" l="1"/>
  <c r="B594" i="9" a="1"/>
  <c r="B594" i="9" l="1"/>
  <c r="B595" i="9" a="1"/>
  <c r="B595" i="9" l="1"/>
  <c r="B596" i="9" a="1"/>
  <c r="B596" i="9" l="1"/>
  <c r="B597" i="9" a="1"/>
  <c r="B597" i="9" l="1"/>
  <c r="B598" i="9" a="1"/>
  <c r="B598" i="9" l="1"/>
  <c r="B599" i="9" a="1"/>
  <c r="B599" i="9" l="1"/>
  <c r="B600" i="9" a="1"/>
  <c r="B600" i="9" l="1"/>
  <c r="B601" i="9" a="1"/>
  <c r="B601" i="9" l="1"/>
  <c r="B602" i="9" a="1"/>
  <c r="B602" i="9" l="1"/>
  <c r="B603" i="9" a="1"/>
  <c r="B603" i="9" l="1"/>
  <c r="B604" i="9" a="1"/>
  <c r="B604" i="9" l="1"/>
  <c r="B605" i="9" a="1"/>
  <c r="B605" i="9" l="1"/>
  <c r="B606" i="9" a="1"/>
  <c r="B606" i="9" l="1"/>
  <c r="B607" i="9" a="1"/>
  <c r="B607" i="9" l="1"/>
  <c r="B608" i="9" a="1"/>
  <c r="B608" i="9" l="1"/>
  <c r="B609" i="9" a="1"/>
  <c r="B609" i="9" l="1"/>
  <c r="B610" i="9" a="1"/>
  <c r="B610" i="9" l="1"/>
  <c r="B611" i="9" a="1"/>
  <c r="B611" i="9" l="1"/>
  <c r="B612" i="9" a="1"/>
  <c r="B612" i="9" l="1"/>
  <c r="B613" i="9" a="1"/>
  <c r="B613" i="9" l="1"/>
  <c r="B614" i="9" a="1"/>
  <c r="B614" i="9" l="1"/>
  <c r="B615" i="9" a="1"/>
  <c r="B615" i="9" l="1"/>
  <c r="B616" i="9" a="1"/>
  <c r="B616" i="9" l="1"/>
  <c r="B617" i="9" a="1"/>
  <c r="B617" i="9" l="1"/>
  <c r="B618" i="9" a="1"/>
  <c r="B618" i="9" l="1"/>
  <c r="B619" i="9" a="1"/>
  <c r="B619" i="9" l="1"/>
  <c r="B620" i="9" a="1"/>
  <c r="B620" i="9" l="1"/>
  <c r="B621" i="9" a="1"/>
  <c r="B621" i="9" l="1"/>
  <c r="B622" i="9" a="1"/>
  <c r="B622" i="9" l="1"/>
  <c r="B623" i="9" a="1"/>
  <c r="B623" i="9" l="1"/>
  <c r="B624" i="9" a="1"/>
  <c r="B624" i="9" l="1"/>
  <c r="B625" i="9" a="1"/>
  <c r="B625" i="9" l="1"/>
  <c r="B626" i="9" a="1"/>
  <c r="B626" i="9" l="1"/>
  <c r="B627" i="9" a="1"/>
  <c r="B627" i="9" l="1"/>
  <c r="B628" i="9" a="1"/>
  <c r="B628" i="9" l="1"/>
  <c r="B629" i="9" a="1"/>
  <c r="B629" i="9" l="1"/>
  <c r="B630" i="9" a="1"/>
  <c r="B630" i="9" l="1"/>
  <c r="B631" i="9" a="1"/>
  <c r="B631" i="9" l="1"/>
  <c r="B632" i="9" a="1"/>
  <c r="B632" i="9" l="1"/>
  <c r="B633" i="9" a="1"/>
  <c r="B633" i="9" l="1"/>
  <c r="B634" i="9" a="1"/>
  <c r="B634" i="9" l="1"/>
  <c r="B635" i="9" a="1"/>
  <c r="B635" i="9" l="1"/>
  <c r="B636" i="9" a="1"/>
  <c r="B636" i="9" l="1"/>
  <c r="B637" i="9" a="1"/>
  <c r="B637" i="9" l="1"/>
  <c r="B638" i="9" a="1"/>
  <c r="B638" i="9" l="1"/>
  <c r="B639" i="9" a="1"/>
  <c r="B639" i="9" l="1"/>
  <c r="B640" i="9" a="1"/>
  <c r="B640" i="9" l="1"/>
  <c r="B641" i="9" a="1"/>
  <c r="B641" i="9" l="1"/>
  <c r="B642" i="9" a="1"/>
  <c r="B642" i="9" l="1"/>
  <c r="B643" i="9" a="1"/>
  <c r="B643" i="9" l="1"/>
  <c r="B644" i="9" a="1"/>
  <c r="B644" i="9" l="1"/>
  <c r="B645" i="9" a="1"/>
  <c r="B645" i="9" l="1"/>
  <c r="B646" i="9" a="1"/>
  <c r="B646" i="9" l="1"/>
  <c r="B647" i="9" a="1"/>
  <c r="B647" i="9" l="1"/>
  <c r="B648" i="9" a="1"/>
  <c r="B648" i="9" l="1"/>
  <c r="B649" i="9" a="1"/>
  <c r="B649" i="9" l="1"/>
  <c r="B650" i="9" a="1"/>
  <c r="B650" i="9" l="1"/>
  <c r="B651" i="9" a="1"/>
  <c r="B651" i="9" l="1"/>
  <c r="B652" i="9" a="1"/>
  <c r="B652" i="9" l="1"/>
  <c r="B653" i="9" a="1"/>
  <c r="B653" i="9" l="1"/>
  <c r="B654" i="9" a="1"/>
  <c r="B654" i="9" l="1"/>
  <c r="B655" i="9" a="1"/>
  <c r="B655" i="9" l="1"/>
  <c r="B656" i="9" a="1"/>
  <c r="B656" i="9" l="1"/>
  <c r="B657" i="9" a="1"/>
  <c r="B657" i="9" l="1"/>
  <c r="B658" i="9" a="1"/>
  <c r="B658" i="9" l="1"/>
  <c r="B659" i="9" a="1"/>
  <c r="B659" i="9" l="1"/>
  <c r="B660" i="9" a="1"/>
  <c r="B660" i="9" l="1"/>
  <c r="B661" i="9" a="1"/>
  <c r="B661" i="9" l="1"/>
  <c r="B662" i="9" a="1"/>
  <c r="B662" i="9" l="1"/>
  <c r="B663" i="9" a="1"/>
  <c r="B663" i="9" l="1"/>
  <c r="B664" i="9" a="1"/>
  <c r="B664" i="9" l="1"/>
  <c r="B665" i="9" a="1"/>
  <c r="B665" i="9" l="1"/>
  <c r="B666" i="9" a="1"/>
  <c r="B666" i="9" l="1"/>
  <c r="B667" i="9" a="1"/>
  <c r="B667" i="9" l="1"/>
  <c r="B668" i="9" a="1"/>
  <c r="B668" i="9" l="1"/>
  <c r="B669" i="9" a="1"/>
  <c r="B669" i="9" l="1"/>
  <c r="B670" i="9" a="1"/>
  <c r="B670" i="9" l="1"/>
  <c r="B671" i="9" a="1"/>
  <c r="B671" i="9" l="1"/>
  <c r="B672" i="9" a="1"/>
  <c r="B672" i="9" l="1"/>
  <c r="B673" i="9" a="1"/>
  <c r="B673" i="9" l="1"/>
  <c r="B674" i="9" a="1"/>
  <c r="B674" i="9" l="1"/>
  <c r="B675" i="9" a="1"/>
  <c r="B675" i="9" l="1"/>
  <c r="B676" i="9" a="1"/>
  <c r="B676" i="9" l="1"/>
  <c r="B677" i="9" a="1"/>
  <c r="B677" i="9" l="1"/>
  <c r="B678" i="9" a="1"/>
  <c r="B678" i="9" l="1"/>
  <c r="B679" i="9" a="1"/>
  <c r="B679" i="9" l="1"/>
  <c r="B680" i="9" a="1"/>
  <c r="B680" i="9" l="1"/>
  <c r="B681" i="9" a="1"/>
  <c r="B681" i="9" l="1"/>
  <c r="B682" i="9" a="1"/>
  <c r="B682" i="9" l="1"/>
  <c r="B683" i="9" a="1"/>
  <c r="B683" i="9" l="1"/>
  <c r="B684" i="9" a="1"/>
  <c r="B684" i="9" l="1"/>
  <c r="B685" i="9" a="1"/>
  <c r="B685" i="9" l="1"/>
  <c r="B686" i="9" a="1"/>
  <c r="B686" i="9" l="1"/>
  <c r="B687" i="9" a="1"/>
  <c r="B687" i="9" l="1"/>
  <c r="B688" i="9" a="1"/>
  <c r="B688" i="9" l="1"/>
  <c r="B689" i="9" a="1"/>
  <c r="B689" i="9" l="1"/>
  <c r="B690" i="9" a="1"/>
  <c r="B690" i="9" l="1"/>
  <c r="B691" i="9" a="1"/>
  <c r="B691" i="9" l="1"/>
  <c r="B692" i="9" a="1"/>
  <c r="B692" i="9" l="1"/>
  <c r="B693" i="9" a="1"/>
  <c r="B693" i="9" l="1"/>
  <c r="B694" i="9" a="1"/>
  <c r="B694" i="9" l="1"/>
  <c r="B695" i="9" a="1"/>
  <c r="B695" i="9" l="1"/>
  <c r="B696" i="9" a="1"/>
  <c r="B696" i="9" l="1"/>
  <c r="B697" i="9" a="1"/>
  <c r="B697" i="9" l="1"/>
  <c r="B698" i="9" a="1"/>
  <c r="B698" i="9" l="1"/>
  <c r="B699" i="9" a="1"/>
  <c r="B699" i="9" l="1"/>
  <c r="B700" i="9" a="1"/>
  <c r="B700" i="9" l="1"/>
  <c r="B701" i="9" a="1"/>
  <c r="B701" i="9" l="1"/>
  <c r="B702" i="9" a="1"/>
  <c r="B702" i="9" l="1"/>
  <c r="B703" i="9" a="1"/>
  <c r="B703" i="9" l="1"/>
  <c r="B704" i="9" a="1"/>
  <c r="B704" i="9" l="1"/>
  <c r="B705" i="9" a="1"/>
  <c r="B705" i="9" l="1"/>
  <c r="B706" i="9" a="1"/>
  <c r="B706" i="9" l="1"/>
  <c r="B707" i="9" a="1"/>
  <c r="B707" i="9" l="1"/>
  <c r="B708" i="9" a="1"/>
  <c r="B708" i="9" l="1"/>
  <c r="B709" i="9" a="1"/>
  <c r="B709" i="9" l="1"/>
  <c r="B710" i="9" a="1"/>
  <c r="B710" i="9" l="1"/>
  <c r="B711" i="9" a="1"/>
  <c r="B711" i="9" l="1"/>
  <c r="B712" i="9" a="1"/>
  <c r="B712" i="9" l="1"/>
  <c r="B713" i="9" a="1"/>
  <c r="B713" i="9" l="1"/>
  <c r="B714" i="9" a="1"/>
  <c r="B714" i="9" l="1"/>
  <c r="B715" i="9" a="1"/>
  <c r="B715" i="9" l="1"/>
  <c r="B716" i="9" a="1"/>
  <c r="B716" i="9" l="1"/>
  <c r="B717" i="9" a="1"/>
  <c r="B717" i="9" l="1"/>
  <c r="B718" i="9" a="1"/>
  <c r="B718" i="9" l="1"/>
  <c r="B719" i="9" a="1"/>
  <c r="B719" i="9" l="1"/>
  <c r="B720" i="9" a="1"/>
  <c r="B720" i="9" l="1"/>
  <c r="B721" i="9" a="1"/>
  <c r="B721" i="9" l="1"/>
  <c r="B722" i="9" a="1"/>
  <c r="B722" i="9" l="1"/>
  <c r="B723" i="9" a="1"/>
  <c r="B723" i="9" l="1"/>
  <c r="B724" i="9" a="1"/>
  <c r="B724" i="9" l="1"/>
  <c r="B725" i="9" a="1"/>
  <c r="B725" i="9" l="1"/>
  <c r="B726" i="9" a="1"/>
  <c r="B726" i="9" l="1"/>
  <c r="B727" i="9" a="1"/>
  <c r="B727" i="9" l="1"/>
  <c r="B728" i="9" a="1"/>
  <c r="B728" i="9" l="1"/>
  <c r="B729" i="9" a="1"/>
  <c r="B729" i="9" l="1"/>
  <c r="B730" i="9" a="1"/>
  <c r="B730" i="9" l="1"/>
  <c r="B731" i="9" a="1"/>
  <c r="B731" i="9" l="1"/>
  <c r="B732" i="9" a="1"/>
  <c r="B732" i="9" l="1"/>
  <c r="B733" i="9" a="1"/>
  <c r="B733" i="9" l="1"/>
  <c r="B734" i="9" a="1"/>
  <c r="B734" i="9" l="1"/>
  <c r="B735" i="9" a="1"/>
  <c r="B735" i="9" l="1"/>
  <c r="B736" i="9" a="1"/>
  <c r="B736" i="9" l="1"/>
  <c r="B737" i="9" a="1"/>
  <c r="B737" i="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tc={0697D668-B800-44E2-9634-03B3C96810DD}</author>
    <author>tc={FC2D03F9-ACB6-46A5-B58D-4023B6AD675E}</author>
    <author>tc={65D9C8E9-36D6-44C5-95CA-9AAAC5AD5029}</author>
    <author>tc={DCA37B91-D231-4CDC-A16A-81B47BDBA56E}</author>
  </authors>
  <commentList>
    <comment ref="E3" authorId="0" shapeId="0" xr:uid="{0697D668-B800-44E2-9634-03B3C96810DD}">
      <text>
        <t>[Threaded comment]
Your version of Excel allows you to read this threaded comment; however, any edits to it will get removed if the file is opened in a newer version of Excel. Learn more: https://go.microsoft.com/fwlink/?linkid=870924
Comment:
    About 12x25ft cylindrical reactor</t>
      </text>
    </comment>
    <comment ref="E4" authorId="1" shapeId="0" xr:uid="{FC2D03F9-ACB6-46A5-B58D-4023B6AD675E}">
      <text>
        <t>[Threaded comment]
Your version of Excel allows you to read this threaded comment; however, any edits to it will get removed if the file is opened in a newer version of Excel. Learn more: https://go.microsoft.com/fwlink/?linkid=870924
Comment:
    Maximum a month of runtime</t>
      </text>
    </comment>
    <comment ref="E5" authorId="2" shapeId="0" xr:uid="{65D9C8E9-36D6-44C5-95CA-9AAAC5AD5029}">
      <text>
        <t>[Threaded comment]
Your version of Excel allows you to read this threaded comment; however, any edits to it will get removed if the file is opened in a newer version of Excel. Learn more: https://go.microsoft.com/fwlink/?linkid=870924
Comment:
    Minimum 24 time of runtime, since maintaining multiple batch reactors with runtime under 24 hours would be borderline impossible.</t>
      </text>
    </comment>
    <comment ref="E6" authorId="3" shapeId="0" xr:uid="{DCA37B91-D231-4CDC-A16A-81B47BDBA56E}">
      <text>
        <t>[Threaded comment]
Your version of Excel allows you to read this threaded comment; however, any edits to it will get removed if the file is opened in a newer version of Excel. Learn more: https://go.microsoft.com/fwlink/?linkid=870924
Comment:
    More then 10 320000L reactors might be not unrealistic, but not convincing.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tc={E12CE888-55AB-491D-A21C-6DEA925FFA6B}</author>
    <author>tc={28F28CF9-C120-49DB-932F-1A7F8639BAE8}</author>
    <author>tc={2186D7A0-DDA1-46C7-9077-47B1EB4043B1}</author>
    <author>tc={2E3B5CFB-0EC6-482F-91A5-B68491026E7F}</author>
  </authors>
  <commentList>
    <comment ref="E3" authorId="0" shapeId="0" xr:uid="{E12CE888-55AB-491D-A21C-6DEA925FFA6B}">
      <text>
        <t>[Threaded comment]
Your version of Excel allows you to read this threaded comment; however, any edits to it will get removed if the file is opened in a newer version of Excel. Learn more: https://go.microsoft.com/fwlink/?linkid=870924
Comment:
    About 12x25ft cylindrical reactor</t>
      </text>
    </comment>
    <comment ref="E4" authorId="1" shapeId="0" xr:uid="{28F28CF9-C120-49DB-932F-1A7F8639BAE8}">
      <text>
        <t>[Threaded comment]
Your version of Excel allows you to read this threaded comment; however, any edits to it will get removed if the file is opened in a newer version of Excel. Learn more: https://go.microsoft.com/fwlink/?linkid=870924
Comment:
    Maximum a month of runtime</t>
      </text>
    </comment>
    <comment ref="E5" authorId="2" shapeId="0" xr:uid="{2186D7A0-DDA1-46C7-9077-47B1EB4043B1}">
      <text>
        <t>[Threaded comment]
Your version of Excel allows you to read this threaded comment; however, any edits to it will get removed if the file is opened in a newer version of Excel. Learn more: https://go.microsoft.com/fwlink/?linkid=870924
Comment:
    Minimum 24 time of runtime, since maintaining multiple batch reactors with runtime under 24 hours would be borderline impossible.</t>
      </text>
    </comment>
    <comment ref="E6" authorId="3" shapeId="0" xr:uid="{2E3B5CFB-0EC6-482F-91A5-B68491026E7F}">
      <text>
        <t>[Threaded comment]
Your version of Excel allows you to read this threaded comment; however, any edits to it will get removed if the file is opened in a newer version of Excel. Learn more: https://go.microsoft.com/fwlink/?linkid=870924
Comment:
    More then 10 320000L reactors might be not unrealistic, but not convincing.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<sst xmlns="http://schemas.openxmlformats.org/spreadsheetml/2006/main" count="117" uniqueCount="72">
  <si>
    <t>Raw data</t>
  </si>
  <si>
    <t>Data Set Group 5</t>
  </si>
  <si>
    <r>
      <t>D (h</t>
    </r>
    <r>
      <rPr>
        <b/>
        <vertAlign val="superscript"/>
        <sz val="11"/>
        <color theme="1"/>
        <rFont val="Calibri"/>
        <family val="2"/>
        <scheme val="minor"/>
      </rPr>
      <t>-1</t>
    </r>
    <r>
      <rPr>
        <b/>
        <sz val="11"/>
        <color theme="1"/>
        <rFont val="Calibri"/>
        <family val="2"/>
        <scheme val="minor"/>
      </rPr>
      <t>)</t>
    </r>
  </si>
  <si>
    <t>S (g/L)</t>
  </si>
  <si>
    <t>X (g/L)</t>
  </si>
  <si>
    <t>P (g/L)</t>
  </si>
  <si>
    <r>
      <t>Initial substrate concentration (S</t>
    </r>
    <r>
      <rPr>
        <i/>
        <vertAlign val="subscript"/>
        <sz val="11"/>
        <color theme="1"/>
        <rFont val="Calibri"/>
        <family val="2"/>
        <scheme val="minor"/>
      </rPr>
      <t>0</t>
    </r>
    <r>
      <rPr>
        <i/>
        <sz val="11"/>
        <color theme="1"/>
        <rFont val="Calibri"/>
        <family val="2"/>
        <scheme val="minor"/>
      </rPr>
      <t>)</t>
    </r>
  </si>
  <si>
    <r>
      <t>D</t>
    </r>
    <r>
      <rPr>
        <b/>
        <vertAlign val="subscript"/>
        <sz val="11"/>
        <color theme="1"/>
        <rFont val="Calibri"/>
        <family val="2"/>
        <scheme val="minor"/>
      </rPr>
      <t>washout</t>
    </r>
  </si>
  <si>
    <r>
      <t>S</t>
    </r>
    <r>
      <rPr>
        <b/>
        <vertAlign val="subscript"/>
        <sz val="11"/>
        <color theme="1"/>
        <rFont val="Calibri"/>
        <family val="2"/>
        <scheme val="minor"/>
      </rPr>
      <t>0</t>
    </r>
  </si>
  <si>
    <r>
      <t>Cell death rate constant (k</t>
    </r>
    <r>
      <rPr>
        <i/>
        <vertAlign val="subscript"/>
        <sz val="11"/>
        <color theme="1"/>
        <rFont val="Calibri"/>
        <family val="2"/>
        <scheme val="minor"/>
      </rPr>
      <t>d</t>
    </r>
    <r>
      <rPr>
        <i/>
        <sz val="11"/>
        <color theme="1"/>
        <rFont val="Calibri"/>
        <family val="2"/>
        <scheme val="minor"/>
      </rPr>
      <t>)</t>
    </r>
  </si>
  <si>
    <t>1/D (h)</t>
  </si>
  <si>
    <r>
      <t>1/Y</t>
    </r>
    <r>
      <rPr>
        <b/>
        <vertAlign val="subscript"/>
        <sz val="11"/>
        <color theme="1"/>
        <rFont val="Calibri"/>
        <family val="2"/>
        <scheme val="minor"/>
      </rPr>
      <t>X/S</t>
    </r>
    <r>
      <rPr>
        <b/>
        <sz val="11"/>
        <color theme="1"/>
        <rFont val="Calibri"/>
        <family val="2"/>
        <scheme val="minor"/>
      </rPr>
      <t xml:space="preserve"> (gS/gX)</t>
    </r>
  </si>
  <si>
    <r>
      <t>m</t>
    </r>
    <r>
      <rPr>
        <b/>
        <vertAlign val="subscript"/>
        <sz val="11"/>
        <color theme="1"/>
        <rFont val="Calibri"/>
        <family val="2"/>
        <scheme val="minor"/>
      </rPr>
      <t>s</t>
    </r>
  </si>
  <si>
    <r>
      <t>1/Y</t>
    </r>
    <r>
      <rPr>
        <b/>
        <vertAlign val="subscript"/>
        <sz val="11"/>
        <color theme="1"/>
        <rFont val="Calibri"/>
        <family val="2"/>
        <scheme val="minor"/>
      </rPr>
      <t>X/S</t>
    </r>
    <r>
      <rPr>
        <b/>
        <vertAlign val="superscript"/>
        <sz val="11"/>
        <color theme="1"/>
        <rFont val="Calibri"/>
        <family val="2"/>
        <scheme val="minor"/>
      </rPr>
      <t>M</t>
    </r>
    <r>
      <rPr>
        <b/>
        <sz val="11"/>
        <color theme="1"/>
        <rFont val="Calibri"/>
        <family val="2"/>
        <scheme val="minor"/>
      </rPr>
      <t xml:space="preserve"> (gS/gX)</t>
    </r>
  </si>
  <si>
    <r>
      <t>k</t>
    </r>
    <r>
      <rPr>
        <b/>
        <vertAlign val="subscript"/>
        <sz val="11"/>
        <color theme="1"/>
        <rFont val="Calibri"/>
        <family val="2"/>
        <scheme val="minor"/>
      </rPr>
      <t>d</t>
    </r>
    <r>
      <rPr>
        <b/>
        <sz val="11"/>
        <color theme="1"/>
        <rFont val="Calibri"/>
        <family val="2"/>
        <scheme val="minor"/>
      </rPr>
      <t xml:space="preserve"> (h</t>
    </r>
    <r>
      <rPr>
        <b/>
        <vertAlign val="superscript"/>
        <sz val="11"/>
        <color theme="1"/>
        <rFont val="Calibri"/>
        <family val="2"/>
        <scheme val="minor"/>
      </rPr>
      <t>-1</t>
    </r>
    <r>
      <rPr>
        <b/>
        <sz val="11"/>
        <color theme="1"/>
        <rFont val="Calibri"/>
        <family val="2"/>
        <scheme val="minor"/>
      </rPr>
      <t>)</t>
    </r>
  </si>
  <si>
    <t>Cell growth model (Monod unbound)</t>
  </si>
  <si>
    <r>
      <t>D</t>
    </r>
    <r>
      <rPr>
        <b/>
        <vertAlign val="subscript"/>
        <sz val="11"/>
        <color theme="1"/>
        <rFont val="Calibri"/>
        <family val="2"/>
        <scheme val="minor"/>
      </rPr>
      <t>exp</t>
    </r>
    <r>
      <rPr>
        <b/>
        <sz val="11"/>
        <color theme="1"/>
        <rFont val="Calibri"/>
        <family val="2"/>
        <scheme val="minor"/>
      </rPr>
      <t xml:space="preserve"> (h</t>
    </r>
    <r>
      <rPr>
        <b/>
        <vertAlign val="superscript"/>
        <sz val="11"/>
        <color theme="1"/>
        <rFont val="Calibri"/>
        <family val="2"/>
        <scheme val="minor"/>
      </rPr>
      <t>-1</t>
    </r>
    <r>
      <rPr>
        <b/>
        <sz val="11"/>
        <color theme="1"/>
        <rFont val="Calibri"/>
        <family val="2"/>
        <scheme val="minor"/>
      </rPr>
      <t>)</t>
    </r>
  </si>
  <si>
    <r>
      <t>S</t>
    </r>
    <r>
      <rPr>
        <b/>
        <vertAlign val="subscript"/>
        <sz val="11"/>
        <color theme="1"/>
        <rFont val="Calibri"/>
        <family val="2"/>
        <scheme val="minor"/>
      </rPr>
      <t>exp</t>
    </r>
    <r>
      <rPr>
        <b/>
        <sz val="11"/>
        <color theme="1"/>
        <rFont val="Calibri"/>
        <family val="2"/>
        <scheme val="minor"/>
      </rPr>
      <t xml:space="preserve"> (g/L)</t>
    </r>
  </si>
  <si>
    <r>
      <t>D</t>
    </r>
    <r>
      <rPr>
        <b/>
        <vertAlign val="subscript"/>
        <sz val="11"/>
        <color theme="1"/>
        <rFont val="Calibri"/>
        <family val="2"/>
        <scheme val="minor"/>
      </rPr>
      <t>theo</t>
    </r>
    <r>
      <rPr>
        <b/>
        <sz val="11"/>
        <color theme="1"/>
        <rFont val="Calibri"/>
        <family val="2"/>
        <scheme val="minor"/>
      </rPr>
      <t xml:space="preserve"> (h</t>
    </r>
    <r>
      <rPr>
        <b/>
        <vertAlign val="superscript"/>
        <sz val="11"/>
        <color theme="1"/>
        <rFont val="Calibri"/>
        <family val="2"/>
        <scheme val="minor"/>
      </rPr>
      <t>-1</t>
    </r>
    <r>
      <rPr>
        <b/>
        <sz val="11"/>
        <color theme="1"/>
        <rFont val="Calibri"/>
        <family val="2"/>
        <scheme val="minor"/>
      </rPr>
      <t>)</t>
    </r>
  </si>
  <si>
    <t>Error</t>
  </si>
  <si>
    <t>RSS</t>
  </si>
  <si>
    <r>
      <t>K</t>
    </r>
    <r>
      <rPr>
        <b/>
        <vertAlign val="subscript"/>
        <sz val="11"/>
        <color theme="1"/>
        <rFont val="Calibri"/>
        <family val="2"/>
        <scheme val="minor"/>
      </rPr>
      <t>s</t>
    </r>
    <r>
      <rPr>
        <b/>
        <sz val="11"/>
        <color theme="1"/>
        <rFont val="Calibri"/>
        <family val="2"/>
        <scheme val="minor"/>
      </rPr>
      <t xml:space="preserve"> (g/L)</t>
    </r>
  </si>
  <si>
    <r>
      <rPr>
        <b/>
        <sz val="11"/>
        <color theme="1"/>
        <rFont val="Calibri"/>
        <family val="2"/>
      </rPr>
      <t>μ</t>
    </r>
    <r>
      <rPr>
        <b/>
        <vertAlign val="subscript"/>
        <sz val="11"/>
        <color theme="1"/>
        <rFont val="Calibri"/>
        <family val="2"/>
      </rPr>
      <t>m</t>
    </r>
    <r>
      <rPr>
        <b/>
        <sz val="11"/>
        <color theme="1"/>
        <rFont val="Calibri"/>
        <family val="2"/>
        <scheme val="minor"/>
      </rPr>
      <t xml:space="preserve"> (h</t>
    </r>
    <r>
      <rPr>
        <b/>
        <vertAlign val="superscript"/>
        <sz val="11"/>
        <color theme="1"/>
        <rFont val="Calibri"/>
        <family val="2"/>
        <scheme val="minor"/>
      </rPr>
      <t>-1</t>
    </r>
    <r>
      <rPr>
        <b/>
        <sz val="11"/>
        <color theme="1"/>
        <rFont val="Calibri"/>
        <family val="2"/>
        <scheme val="minor"/>
      </rPr>
      <t>)</t>
    </r>
  </si>
  <si>
    <r>
      <t>D</t>
    </r>
    <r>
      <rPr>
        <b/>
        <vertAlign val="subscript"/>
        <sz val="11"/>
        <color theme="1"/>
        <rFont val="Calibri"/>
        <family val="2"/>
        <scheme val="minor"/>
      </rPr>
      <t>max</t>
    </r>
    <r>
      <rPr>
        <b/>
        <sz val="11"/>
        <color theme="1"/>
        <rFont val="Calibri"/>
        <family val="2"/>
        <scheme val="minor"/>
      </rPr>
      <t xml:space="preserve"> (h</t>
    </r>
    <r>
      <rPr>
        <b/>
        <vertAlign val="superscript"/>
        <sz val="11"/>
        <color theme="1"/>
        <rFont val="Calibri"/>
        <family val="2"/>
        <scheme val="minor"/>
      </rPr>
      <t>-1</t>
    </r>
    <r>
      <rPr>
        <b/>
        <sz val="11"/>
        <color theme="1"/>
        <rFont val="Calibri"/>
        <family val="2"/>
        <scheme val="minor"/>
      </rPr>
      <t>)</t>
    </r>
  </si>
  <si>
    <r>
      <t>Product formation, mixed growth (q</t>
    </r>
    <r>
      <rPr>
        <i/>
        <vertAlign val="subscript"/>
        <sz val="11"/>
        <color theme="1"/>
        <rFont val="Calibri"/>
        <family val="2"/>
        <scheme val="minor"/>
      </rPr>
      <t>p</t>
    </r>
    <r>
      <rPr>
        <i/>
        <sz val="11"/>
        <color theme="1"/>
        <rFont val="Calibri"/>
        <family val="2"/>
        <scheme val="minor"/>
      </rPr>
      <t>)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</si>
  <si>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exp</t>
    </r>
    <r>
      <rPr>
        <b/>
        <sz val="11"/>
        <color theme="1"/>
        <rFont val="Calibri"/>
        <family val="2"/>
        <scheme val="minor"/>
      </rPr>
      <t xml:space="preserve"> (g/L)</t>
    </r>
  </si>
  <si>
    <r>
      <t>P</t>
    </r>
    <r>
      <rPr>
        <b/>
        <vertAlign val="subscript"/>
        <sz val="11"/>
        <color theme="1"/>
        <rFont val="Calibri"/>
        <family val="2"/>
        <scheme val="minor"/>
      </rPr>
      <t>exp</t>
    </r>
    <r>
      <rPr>
        <b/>
        <sz val="11"/>
        <color theme="1"/>
        <rFont val="Calibri"/>
        <family val="2"/>
        <scheme val="minor"/>
      </rPr>
      <t xml:space="preserve"> (g/L)</t>
    </r>
  </si>
  <si>
    <r>
      <t>q</t>
    </r>
    <r>
      <rPr>
        <b/>
        <vertAlign val="subscript"/>
        <sz val="11"/>
        <color theme="1"/>
        <rFont val="Calibri"/>
        <family val="2"/>
        <scheme val="minor"/>
      </rPr>
      <t>p,exp</t>
    </r>
    <r>
      <rPr>
        <b/>
        <sz val="11"/>
        <color theme="1"/>
        <rFont val="Calibri"/>
        <family val="2"/>
        <scheme val="minor"/>
      </rPr>
      <t xml:space="preserve"> (gP/gX*L)</t>
    </r>
  </si>
  <si>
    <r>
      <rPr>
        <b/>
        <sz val="11"/>
        <color theme="1"/>
        <rFont val="Calibri"/>
        <family val="2"/>
      </rPr>
      <t>μ</t>
    </r>
    <r>
      <rPr>
        <b/>
        <vertAlign val="subscript"/>
        <sz val="11"/>
        <color theme="1"/>
        <rFont val="Calibri"/>
        <family val="2"/>
      </rPr>
      <t>g</t>
    </r>
    <r>
      <rPr>
        <b/>
        <sz val="11"/>
        <color theme="1"/>
        <rFont val="Calibri"/>
        <family val="2"/>
        <scheme val="minor"/>
      </rPr>
      <t xml:space="preserve"> (h</t>
    </r>
    <r>
      <rPr>
        <b/>
        <vertAlign val="superscript"/>
        <sz val="11"/>
        <color theme="1"/>
        <rFont val="Calibri"/>
        <family val="2"/>
        <scheme val="minor"/>
      </rPr>
      <t>-1</t>
    </r>
    <r>
      <rPr>
        <b/>
        <sz val="11"/>
        <color theme="1"/>
        <rFont val="Calibri"/>
        <family val="2"/>
        <scheme val="minor"/>
      </rPr>
      <t>)</t>
    </r>
  </si>
  <si>
    <r>
      <t>q</t>
    </r>
    <r>
      <rPr>
        <b/>
        <vertAlign val="subscript"/>
        <sz val="11"/>
        <color theme="1"/>
        <rFont val="Calibri"/>
        <family val="2"/>
        <scheme val="minor"/>
      </rPr>
      <t>p,theo</t>
    </r>
    <r>
      <rPr>
        <b/>
        <sz val="11"/>
        <color theme="1"/>
        <rFont val="Calibri"/>
        <family val="2"/>
        <scheme val="minor"/>
      </rPr>
      <t xml:space="preserve"> (gP/gX*L)</t>
    </r>
  </si>
  <si>
    <t>α</t>
  </si>
  <si>
    <t>β</t>
  </si>
  <si>
    <t>Optimization parameters</t>
  </si>
  <si>
    <t>Optimization Constrains</t>
  </si>
  <si>
    <t>Economical Analysis</t>
  </si>
  <si>
    <t>F0 =</t>
  </si>
  <si>
    <t>L/hr</t>
  </si>
  <si>
    <t>S &lt;=</t>
  </si>
  <si>
    <t>g/L</t>
  </si>
  <si>
    <t>Cost (per Batch)</t>
  </si>
  <si>
    <t>Gross (per Batch)</t>
  </si>
  <si>
    <t>S0 =</t>
  </si>
  <si>
    <t>V &lt;=</t>
  </si>
  <si>
    <t>L</t>
  </si>
  <si>
    <t>Cost of inoculum =</t>
  </si>
  <si>
    <t>Ethanol Sales =</t>
  </si>
  <si>
    <t>X0 (inoculum) =</t>
  </si>
  <si>
    <t>run time &lt;=</t>
  </si>
  <si>
    <t>hr</t>
  </si>
  <si>
    <t>Cost of Glucose =</t>
  </si>
  <si>
    <t>S1 =</t>
  </si>
  <si>
    <t>run time =&gt;</t>
  </si>
  <si>
    <t>Cost of Cooling =</t>
  </si>
  <si>
    <t>run time =</t>
  </si>
  <si>
    <t># of react. &lt;</t>
  </si>
  <si>
    <t>Runtime factor =</t>
  </si>
  <si>
    <t># of reactors =</t>
  </si>
  <si>
    <t>#</t>
  </si>
  <si>
    <t>EtOH =&gt;</t>
  </si>
  <si>
    <t>tonns/year</t>
  </si>
  <si>
    <t>Cost/year =</t>
  </si>
  <si>
    <t>Gross/year =</t>
  </si>
  <si>
    <t>dt=</t>
  </si>
  <si>
    <t>NET/year =</t>
  </si>
  <si>
    <t>Simulation Results</t>
  </si>
  <si>
    <t>t (h)</t>
  </si>
  <si>
    <t>V (L)</t>
  </si>
  <si>
    <t>X (g/L)</t>
  </si>
  <si>
    <t>P (g/L)</t>
  </si>
  <si>
    <t>H (kJ)</t>
  </si>
  <si>
    <t>EtOH Annual =</t>
  </si>
  <si>
    <t>m^3/year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</si>
</sst>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0.00000"/>
    <numFmt numFmtId="166" formatCode="0.0000"/>
    <numFmt numFmtId="167" formatCode="0.000E+00"/>
    <numFmt numFmtId="168" formatCode="0.E+00"/>
    <numFmt numFmtId="169" formatCode="&quot;$&quot;#,##0.00"/>
  </numFmts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vertAlign val="subscript"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vertAlign val="subscript"/>
      <sz val="11"/>
      <color theme="1"/>
      <name val="Calibri"/>
      <family val="2"/>
    </font>
    <font>
      <b/>
      <sz val="11"/>
      <color theme="1"/>
      <name val="Calibri Light"/>
      <family val="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6">
    <xf numFmtId="0" fontId="0" fillId="0" borderId="0" xfId="0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1" xfId="0" applyFon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7" fontId="0" fillId="0" borderId="9" xfId="0" applyNumberFormat="1" applyBorder="1" applyAlignment="1">
      <alignment horizontal="center"/>
    </xf>
    <xf numFmtId="167" fontId="0" fillId="0" borderId="8" xfId="0" applyNumberFormat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167" fontId="0" fillId="0" borderId="7" xfId="0" applyNumberFormat="1" applyBorder="1" applyAlignment="1">
      <alignment horizontal="center"/>
    </xf>
    <xf numFmtId="0" fontId="0" fillId="0" borderId="9" xfId="0" applyBorder="1" applyAlignment="1">
      <alignment horizontal="center"/>
    </xf>
    <xf numFmtId="166" fontId="0" fillId="0" borderId="0" xfId="0" applyNumberFormat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166" fontId="0" fillId="0" borderId="10" xfId="0" applyNumberFormat="1" applyBorder="1" applyAlignment="1">
      <alignment horizontal="center"/>
    </xf>
    <xf numFmtId="166" fontId="0" fillId="0" borderId="5" xfId="0" applyNumberForma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1" fillId="0" borderId="10" xfId="0" applyNumberFormat="1" applyFont="1" applyBorder="1" applyAlignment="1">
      <alignment horizontal="center"/>
    </xf>
    <xf numFmtId="166" fontId="1" fillId="0" borderId="5" xfId="0" applyNumberFormat="1" applyFont="1" applyBorder="1" applyAlignment="1">
      <alignment horizontal="center"/>
    </xf>
    <xf numFmtId="166" fontId="1" fillId="0" borderId="6" xfId="0" applyNumberFormat="1" applyFont="1" applyBorder="1" applyAlignment="1">
      <alignment horizontal="center"/>
    </xf>
    <xf numFmtId="165" fontId="1" fillId="0" borderId="9" xfId="0" applyNumberFormat="1" applyFont="1" applyBorder="1" applyAlignment="1">
      <alignment horizontal="center"/>
    </xf>
    <xf numFmtId="165" fontId="1" fillId="0" borderId="8" xfId="0" applyNumberFormat="1" applyFont="1" applyBorder="1" applyAlignment="1">
      <alignment horizontal="center"/>
    </xf>
    <xf numFmtId="167" fontId="1" fillId="0" borderId="9" xfId="0" applyNumberFormat="1" applyFont="1" applyBorder="1" applyAlignment="1">
      <alignment horizontal="center"/>
    </xf>
    <xf numFmtId="164" fontId="1" fillId="0" borderId="7" xfId="0" applyNumberFormat="1" applyFont="1" applyBorder="1" applyAlignment="1">
      <alignment horizontal="center"/>
    </xf>
    <xf numFmtId="167" fontId="1" fillId="0" borderId="8" xfId="0" applyNumberFormat="1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164" fontId="1" fillId="0" borderId="6" xfId="0" applyNumberFormat="1" applyFont="1" applyBorder="1" applyAlignment="1">
      <alignment horizontal="center"/>
    </xf>
    <xf numFmtId="167" fontId="0" fillId="0" borderId="12" xfId="0" applyNumberFormat="1" applyBorder="1" applyAlignment="1">
      <alignment horizontal="center"/>
    </xf>
    <xf numFmtId="167" fontId="0" fillId="0" borderId="11" xfId="0" applyNumberFormat="1" applyBorder="1" applyAlignment="1">
      <alignment horizontal="center"/>
    </xf>
    <xf numFmtId="166" fontId="0" fillId="0" borderId="13" xfId="0" applyNumberFormat="1" applyBorder="1" applyAlignment="1">
      <alignment horizontal="center"/>
    </xf>
    <xf numFmtId="166" fontId="0" fillId="0" borderId="14" xfId="0" applyNumberFormat="1" applyBorder="1" applyAlignment="1">
      <alignment horizontal="center"/>
    </xf>
    <xf numFmtId="11" fontId="0" fillId="0" borderId="8" xfId="0" applyNumberFormat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8" fillId="4" borderId="8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4" borderId="8" xfId="0" applyFont="1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18" xfId="0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20" xfId="0" applyBorder="1" applyAlignment="1" applyProtection="1">
      <alignment horizontal="right" vertical="center"/>
      <protection locked="0"/>
    </xf>
    <xf numFmtId="0" fontId="0" fillId="0" borderId="21" xfId="0" applyBorder="1" applyAlignment="1" applyProtection="1">
      <alignment horizontal="left"/>
      <protection locked="0"/>
    </xf>
    <xf numFmtId="0" fontId="0" fillId="0" borderId="22" xfId="0" applyBorder="1" applyAlignment="1" applyProtection="1">
      <alignment horizontal="left"/>
      <protection locked="0"/>
    </xf>
    <xf numFmtId="0" fontId="1" fillId="5" borderId="22" xfId="0" applyFont="1" applyFill="1" applyBorder="1" applyAlignment="1">
      <alignment horizontal="center" vertical="center"/>
    </xf>
    <xf numFmtId="0" fontId="1" fillId="5" borderId="24" xfId="0" applyFont="1" applyFill="1" applyBorder="1" applyAlignment="1">
      <alignment horizontal="center" vertical="center"/>
    </xf>
    <xf numFmtId="0" fontId="1" fillId="5" borderId="21" xfId="0" applyFont="1" applyFill="1" applyBorder="1" applyAlignment="1">
      <alignment horizontal="center" vertical="center"/>
    </xf>
    <xf numFmtId="164" fontId="0" fillId="5" borderId="19" xfId="0" applyNumberFormat="1" applyFill="1" applyBorder="1" applyAlignment="1">
      <alignment horizontal="center" vertical="center"/>
    </xf>
    <xf numFmtId="164" fontId="0" fillId="5" borderId="23" xfId="0" applyNumberFormat="1" applyFill="1" applyBorder="1" applyAlignment="1">
      <alignment horizontal="center" vertical="center"/>
    </xf>
    <xf numFmtId="164" fontId="0" fillId="5" borderId="0" xfId="0" applyNumberFormat="1" applyFill="1" applyAlignment="1">
      <alignment horizontal="center" vertical="center"/>
    </xf>
    <xf numFmtId="0" fontId="0" fillId="0" borderId="18" xfId="0" applyBorder="1" applyAlignment="1" applyProtection="1">
      <alignment horizontal="right"/>
      <protection locked="0"/>
    </xf>
    <xf numFmtId="0" fontId="0" fillId="0" borderId="19" xfId="0" applyBorder="1" applyProtection="1">
      <protection locked="0"/>
    </xf>
    <xf numFmtId="0" fontId="0" fillId="0" borderId="18" xfId="0" applyBorder="1" applyProtection="1">
      <protection locked="0"/>
    </xf>
    <xf numFmtId="0" fontId="0" fillId="0" borderId="20" xfId="0" applyBorder="1" applyProtection="1">
      <protection locked="0"/>
    </xf>
    <xf numFmtId="0" fontId="0" fillId="0" borderId="21" xfId="0" applyBorder="1" applyProtection="1">
      <protection locked="0"/>
    </xf>
    <xf numFmtId="0" fontId="0" fillId="0" borderId="22" xfId="0" applyBorder="1" applyProtection="1">
      <protection locked="0"/>
    </xf>
    <xf numFmtId="168" fontId="0" fillId="0" borderId="0" xfId="0" applyNumberFormat="1" applyProtection="1">
      <protection locked="0"/>
    </xf>
    <xf numFmtId="169" fontId="0" fillId="0" borderId="0" xfId="0" applyNumberFormat="1" applyAlignment="1" applyProtection="1">
      <alignment horizontal="left"/>
      <protection locked="0"/>
    </xf>
    <xf numFmtId="0" fontId="0" fillId="0" borderId="20" xfId="0" applyBorder="1" applyAlignment="1" applyProtection="1">
      <alignment horizontal="right"/>
      <protection locked="0"/>
    </xf>
    <xf numFmtId="169" fontId="0" fillId="0" borderId="21" xfId="0" applyNumberFormat="1" applyBorder="1" applyAlignment="1" applyProtection="1">
      <alignment horizontal="left"/>
      <protection locked="0"/>
    </xf>
    <xf numFmtId="169" fontId="0" fillId="0" borderId="19" xfId="0" applyNumberFormat="1" applyBorder="1" applyAlignment="1" applyProtection="1">
      <alignment horizontal="left"/>
      <protection locked="0"/>
    </xf>
    <xf numFmtId="169" fontId="0" fillId="0" borderId="22" xfId="0" applyNumberFormat="1" applyBorder="1" applyAlignment="1" applyProtection="1">
      <alignment horizontal="left"/>
      <protection locked="0"/>
    </xf>
    <xf numFmtId="0" fontId="0" fillId="0" borderId="15" xfId="0" applyBorder="1" applyProtection="1">
      <protection locked="0"/>
    </xf>
    <xf numFmtId="0" fontId="0" fillId="0" borderId="16" xfId="0" applyBorder="1" applyAlignment="1" applyProtection="1">
      <alignment horizontal="right"/>
      <protection locked="0"/>
    </xf>
    <xf numFmtId="9" fontId="0" fillId="0" borderId="16" xfId="0" applyNumberFormat="1" applyBorder="1" applyAlignment="1" applyProtection="1">
      <alignment horizontal="left"/>
      <protection locked="0"/>
    </xf>
    <xf numFmtId="0" fontId="0" fillId="0" borderId="17" xfId="0" applyBorder="1" applyProtection="1">
      <protection locked="0"/>
    </xf>
    <xf numFmtId="0" fontId="0" fillId="0" borderId="21" xfId="0" applyBorder="1" applyAlignment="1" applyProtection="1">
      <alignment horizontal="right"/>
      <protection locked="0"/>
    </xf>
    <xf numFmtId="0" fontId="0" fillId="0" borderId="25" xfId="0" applyBorder="1" applyAlignment="1" applyProtection="1">
      <alignment horizontal="right"/>
      <protection locked="0"/>
    </xf>
    <xf numFmtId="0" fontId="0" fillId="0" borderId="26" xfId="0" applyBorder="1" applyProtection="1">
      <protection locked="0"/>
    </xf>
    <xf numFmtId="0" fontId="0" fillId="0" borderId="27" xfId="0" applyBorder="1" applyProtection="1">
      <protection locked="0"/>
    </xf>
    <xf numFmtId="169" fontId="0" fillId="0" borderId="26" xfId="0" applyNumberFormat="1" applyBorder="1" applyAlignment="1" applyProtection="1">
      <alignment horizontal="left"/>
      <protection locked="0"/>
    </xf>
    <xf numFmtId="0" fontId="0" fillId="5" borderId="0" xfId="0" applyFill="1" applyProtection="1">
      <protection locked="0"/>
    </xf>
    <xf numFmtId="164" fontId="0" fillId="0" borderId="0" xfId="0" applyNumberFormat="1" applyProtection="1">
      <protection locked="0"/>
    </xf>
    <xf numFmtId="0" fontId="3" fillId="3" borderId="0" xfId="0" applyFont="1" applyFill="1" applyAlignment="1">
      <alignment horizontal="left"/>
    </xf>
    <xf numFmtId="0" fontId="0" fillId="3" borderId="0" xfId="0" applyFill="1" applyAlignment="1">
      <alignment horizontal="left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0" fillId="0" borderId="0" xfId="0" applyFont="1" applyAlignment="1" applyProtection="1">
      <alignment horizontal="center"/>
      <protection locked="0"/>
    </xf>
    <xf numFmtId="0" fontId="9" fillId="0" borderId="15" xfId="0" applyFont="1" applyBorder="1" applyAlignment="1" applyProtection="1">
      <alignment horizontal="center"/>
      <protection locked="0"/>
    </xf>
    <xf numFmtId="0" fontId="9" fillId="0" borderId="16" xfId="0" applyFont="1" applyBorder="1" applyAlignment="1" applyProtection="1">
      <alignment horizontal="center"/>
      <protection locked="0"/>
    </xf>
    <xf numFmtId="0" fontId="9" fillId="0" borderId="17" xfId="0" applyFont="1" applyBorder="1" applyAlignment="1" applyProtection="1">
      <alignment horizontal="center"/>
      <protection locked="0"/>
    </xf>
    <xf numFmtId="0" fontId="9" fillId="0" borderId="18" xfId="0" applyFont="1" applyBorder="1" applyAlignment="1" applyProtection="1">
      <alignment horizontal="center"/>
      <protection locked="0"/>
    </xf>
    <xf numFmtId="0" fontId="9" fillId="0" borderId="0" xfId="0" applyFont="1" applyAlignment="1" applyProtection="1">
      <alignment horizontal="center"/>
      <protection locked="0"/>
    </xf>
    <xf numFmtId="0" fontId="1" fillId="0" borderId="15" xfId="0" applyFont="1" applyBorder="1" applyAlignment="1" applyProtection="1">
      <alignment horizontal="center"/>
      <protection locked="0"/>
    </xf>
    <xf numFmtId="0" fontId="1" fillId="0" borderId="16" xfId="0" applyFont="1" applyBorder="1" applyAlignment="1" applyProtection="1">
      <alignment horizontal="center"/>
      <protection locked="0"/>
    </xf>
    <xf numFmtId="0" fontId="1" fillId="0" borderId="17" xfId="0" applyFont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2.xml"/><Relationship Id="rId5" Type="http://schemas.openxmlformats.org/officeDocument/2006/relationships/styles" Target="style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 vs. 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4.912204724409449E-2"/>
                  <c:y val="-0.2093084718576844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analysis'!$A$11:$A$16</c:f>
              <c:numCache>
                <c:formatCode>General</c:formatCode>
                <c:ptCount val="6"/>
                <c:pt idx="0">
                  <c:v>8.0799999999999997E-2</c:v>
                </c:pt>
                <c:pt idx="1">
                  <c:v>9.1800000000000007E-2</c:v>
                </c:pt>
                <c:pt idx="2">
                  <c:v>0.10299999999999999</c:v>
                </c:pt>
                <c:pt idx="3">
                  <c:v>0.1111</c:v>
                </c:pt>
                <c:pt idx="4">
                  <c:v>0.12</c:v>
                </c:pt>
                <c:pt idx="5">
                  <c:v>0.13</c:v>
                </c:pt>
              </c:numCache>
            </c:numRef>
          </c:xVal>
          <c:yVal>
            <c:numRef>
              <c:f>'Data analysis'!$B$11:$B$17</c:f>
              <c:numCache>
                <c:formatCode>General</c:formatCode>
                <c:ptCount val="7"/>
                <c:pt idx="0">
                  <c:v>41.655000000000001</c:v>
                </c:pt>
                <c:pt idx="1">
                  <c:v>34.5456</c:v>
                </c:pt>
                <c:pt idx="2">
                  <c:v>28.806100000000001</c:v>
                </c:pt>
                <c:pt idx="3">
                  <c:v>24.056100000000001</c:v>
                </c:pt>
                <c:pt idx="4">
                  <c:v>20.036300000000001</c:v>
                </c:pt>
                <c:pt idx="5">
                  <c:v>16.558499999999999</c:v>
                </c:pt>
                <c:pt idx="6">
                  <c:v>13.4726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DF-4DFE-9974-EDD9DC9AA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913072"/>
        <c:axId val="739914152"/>
      </c:scatterChart>
      <c:valAx>
        <c:axId val="739913072"/>
        <c:scaling>
          <c:orientation val="minMax"/>
          <c:min val="7.0000000000000007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D (h</a:t>
                </a:r>
                <a:r>
                  <a:rPr lang="en-CA" baseline="30000"/>
                  <a:t>-1</a:t>
                </a:r>
                <a:r>
                  <a:rPr lang="en-CA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914152"/>
        <c:crosses val="autoZero"/>
        <c:crossBetween val="midCat"/>
      </c:valAx>
      <c:valAx>
        <c:axId val="739914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 (g/L)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913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1/Y</a:t>
            </a:r>
            <a:r>
              <a:rPr lang="en-US" baseline="-25000"/>
              <a:t>X/S </a:t>
            </a:r>
            <a:r>
              <a:rPr lang="en-US"/>
              <a:t>vs. 1/D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1/Y_X/S vs. 1/D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analysis'!$A$39:$A$44</c:f>
              <c:numCache>
                <c:formatCode>0.000</c:formatCode>
                <c:ptCount val="6"/>
                <c:pt idx="0">
                  <c:v>50</c:v>
                </c:pt>
                <c:pt idx="1">
                  <c:v>33.333333333333336</c:v>
                </c:pt>
                <c:pt idx="2">
                  <c:v>24.752475247524753</c:v>
                </c:pt>
                <c:pt idx="3">
                  <c:v>19.607843137254903</c:v>
                </c:pt>
                <c:pt idx="4">
                  <c:v>16.5016501650165</c:v>
                </c:pt>
                <c:pt idx="5">
                  <c:v>14.144271570014144</c:v>
                </c:pt>
              </c:numCache>
            </c:numRef>
          </c:xVal>
          <c:yVal>
            <c:numRef>
              <c:f>'Data analysis'!$B$39:$B$44</c:f>
              <c:numCache>
                <c:formatCode>0.000</c:formatCode>
                <c:ptCount val="6"/>
                <c:pt idx="0">
                  <c:v>1.2962970659130577</c:v>
                </c:pt>
                <c:pt idx="1">
                  <c:v>1.2757190378710339</c:v>
                </c:pt>
                <c:pt idx="2">
                  <c:v>1.2651280357687229</c:v>
                </c:pt>
                <c:pt idx="3">
                  <c:v>1.258776813824241</c:v>
                </c:pt>
                <c:pt idx="4">
                  <c:v>1.2549382747242195</c:v>
                </c:pt>
                <c:pt idx="5">
                  <c:v>1.2520306933268022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EB-4C53-A6A3-999B6304A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0767903"/>
        <c:axId val="1785631103"/>
      </c:scatterChart>
      <c:valAx>
        <c:axId val="17807679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1/D (h)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5631103"/>
        <c:crosses val="autoZero"/>
        <c:crossBetween val="midCat"/>
      </c:valAx>
      <c:valAx>
        <c:axId val="1785631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1/Y</a:t>
                </a:r>
                <a:r>
                  <a:rPr lang="en-CA" baseline="-25000"/>
                  <a:t>X/S </a:t>
                </a:r>
                <a:r>
                  <a:rPr lang="en-CA"/>
                  <a:t>(gS/gX)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07679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D vs. 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Experimental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'Data analysis'!$B$56:$B$61</c:f>
              <c:numCache>
                <c:formatCode>General</c:formatCode>
                <c:ptCount val="6"/>
                <c:pt idx="0">
                  <c:v>9.3600000000000003E-2</c:v>
                </c:pt>
                <c:pt idx="1">
                  <c:v>0.1449</c:v>
                </c:pt>
                <c:pt idx="2">
                  <c:v>0.19950000000000001</c:v>
                </c:pt>
                <c:pt idx="3">
                  <c:v>0.26169999999999999</c:v>
                </c:pt>
                <c:pt idx="4">
                  <c:v>0.33129999999999998</c:v>
                </c:pt>
                <c:pt idx="5">
                  <c:v>0.41370000000000001</c:v>
                </c:pt>
              </c:numCache>
            </c:numRef>
          </c:xVal>
          <c:yVal>
            <c:numRef>
              <c:f>'Data analysis'!$A$56:$A$61</c:f>
              <c:numCache>
                <c:formatCode>General</c:formatCode>
                <c:ptCount val="6"/>
                <c:pt idx="0">
                  <c:v>0.02</c:v>
                </c:pt>
                <c:pt idx="1">
                  <c:v>0.03</c:v>
                </c:pt>
                <c:pt idx="2">
                  <c:v>4.0399999999999998E-2</c:v>
                </c:pt>
                <c:pt idx="3">
                  <c:v>5.0999999999999997E-2</c:v>
                </c:pt>
                <c:pt idx="4">
                  <c:v>6.0600000000000001E-2</c:v>
                </c:pt>
                <c:pt idx="5">
                  <c:v>7.0699999999999999E-2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90-4AA8-B9F1-61BFD727A8CC}"/>
            </c:ext>
          </c:extLst>
        </c:ser>
        <c:ser>
          <c:idx val="1"/>
          <c:order val="1"/>
          <c:tx>
            <c:v>Theoretical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'Data analysis'!$B$56:$B$61</c:f>
              <c:numCache>
                <c:formatCode>General</c:formatCode>
                <c:ptCount val="6"/>
                <c:pt idx="0">
                  <c:v>9.3600000000000003E-2</c:v>
                </c:pt>
                <c:pt idx="1">
                  <c:v>0.1449</c:v>
                </c:pt>
                <c:pt idx="2">
                  <c:v>0.19950000000000001</c:v>
                </c:pt>
                <c:pt idx="3">
                  <c:v>0.26169999999999999</c:v>
                </c:pt>
                <c:pt idx="4">
                  <c:v>0.33129999999999998</c:v>
                </c:pt>
                <c:pt idx="5">
                  <c:v>0.41370000000000001</c:v>
                </c:pt>
              </c:numCache>
            </c:numRef>
          </c:xVal>
          <c:yVal>
            <c:numRef>
              <c:f>'Data analysis'!$C$56:$C$61</c:f>
              <c:numCache>
                <c:formatCode>0.000E+00</c:formatCode>
                <c:ptCount val="6"/>
                <c:pt idx="0">
                  <c:v>2.0338109713532095E-2</c:v>
                </c:pt>
                <c:pt idx="1">
                  <c:v>3.0476320549792012E-2</c:v>
                </c:pt>
                <c:pt idx="2">
                  <c:v>4.0267106437582342E-2</c:v>
                </c:pt>
                <c:pt idx="3">
                  <c:v>5.0339930231663527E-2</c:v>
                </c:pt>
                <c:pt idx="4">
                  <c:v>6.044596766299079E-2</c:v>
                </c:pt>
                <c:pt idx="5">
                  <c:v>7.1070772543204999E-2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90-4AA8-B9F1-61BFD727A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6896128"/>
        <c:axId val="1021345648"/>
      </c:scatterChart>
      <c:valAx>
        <c:axId val="1016896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 (g/L)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1345648"/>
        <c:crosses val="autoZero"/>
        <c:crossBetween val="midCat"/>
      </c:valAx>
      <c:valAx>
        <c:axId val="102134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D (h</a:t>
                </a:r>
                <a:r>
                  <a:rPr lang="en-CA" baseline="30000"/>
                  <a:t>-1</a:t>
                </a:r>
                <a:r>
                  <a:rPr lang="en-CA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6896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Concentration of X, S and P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Visualization!$C$17</c:f>
              <c:strCache>
                <c:ptCount val="1"/>
                <c:pt idx="0">
                  <c:v>X (g/L)</c:v>
                </c:pt>
              </c:strCache>
            </c:strRef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Visualization!$A$18:$A$418</c:f>
              <c:numCache>
                <c:formatCode>0.000</c:formatCode>
                <c:ptCount val="4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</c:numCache>
            </c:numRef>
          </c:xVal>
          <c:yVal>
            <c:numRef>
              <c:f>Visualization!$C$18:$C$418</c:f>
              <c:numCache>
                <c:formatCode>0.000</c:formatCode>
                <c:ptCount val="401"/>
                <c:pt idx="0">
                  <c:v>0.99998761459394425</c:v>
                </c:pt>
                <c:pt idx="1">
                  <c:v>0.22522272980314301</c:v>
                </c:pt>
                <c:pt idx="2">
                  <c:v>0.15635330612228371</c:v>
                </c:pt>
                <c:pt idx="3">
                  <c:v>0.13617619224738864</c:v>
                </c:pt>
                <c:pt idx="4">
                  <c:v>0.13148629187796149</c:v>
                </c:pt>
                <c:pt idx="5">
                  <c:v>0.1346082526884709</c:v>
                </c:pt>
                <c:pt idx="6">
                  <c:v>0.14310772922139933</c:v>
                </c:pt>
                <c:pt idx="7">
                  <c:v>0.15621480657476902</c:v>
                </c:pt>
                <c:pt idx="8">
                  <c:v>0.17388157293839213</c:v>
                </c:pt>
                <c:pt idx="9">
                  <c:v>0.19647212741488651</c:v>
                </c:pt>
                <c:pt idx="10">
                  <c:v>0.22465498834275441</c:v>
                </c:pt>
                <c:pt idx="11">
                  <c:v>0.25937620868064187</c:v>
                </c:pt>
                <c:pt idx="12">
                  <c:v>0.30187253510285417</c:v>
                </c:pt>
                <c:pt idx="13">
                  <c:v>0.35371000355413051</c:v>
                </c:pt>
                <c:pt idx="14">
                  <c:v>0.41684324832889014</c:v>
                </c:pt>
                <c:pt idx="15">
                  <c:v>0.49369524453569424</c:v>
                </c:pt>
                <c:pt idx="16">
                  <c:v>0.58725966885451741</c:v>
                </c:pt>
                <c:pt idx="17">
                  <c:v>0.69998737965584223</c:v>
                </c:pt>
                <c:pt idx="18">
                  <c:v>0.83713234134873471</c:v>
                </c:pt>
                <c:pt idx="19">
                  <c:v>1.0041268703614104</c:v>
                </c:pt>
                <c:pt idx="20">
                  <c:v>1.2076566184578992</c:v>
                </c:pt>
                <c:pt idx="21">
                  <c:v>1.4559528773280983</c:v>
                </c:pt>
                <c:pt idx="22">
                  <c:v>1.7591545656627881</c:v>
                </c:pt>
                <c:pt idx="23">
                  <c:v>2.1297565368032529</c:v>
                </c:pt>
                <c:pt idx="24">
                  <c:v>2.5831648940965874</c:v>
                </c:pt>
                <c:pt idx="25">
                  <c:v>3.1383850248447782</c:v>
                </c:pt>
                <c:pt idx="26">
                  <c:v>3.818874302214033</c:v>
                </c:pt>
                <c:pt idx="27">
                  <c:v>4.6535991540620074</c:v>
                </c:pt>
                <c:pt idx="28">
                  <c:v>5.6783458246914131</c:v>
                </c:pt>
                <c:pt idx="29">
                  <c:v>6.9373461124421221</c:v>
                </c:pt>
                <c:pt idx="30">
                  <c:v>8.4852942101345139</c:v>
                </c:pt>
                <c:pt idx="31">
                  <c:v>10.389849190651159</c:v>
                </c:pt>
                <c:pt idx="32">
                  <c:v>12.734740500694958</c:v>
                </c:pt>
                <c:pt idx="33">
                  <c:v>15.655668871838726</c:v>
                </c:pt>
                <c:pt idx="34">
                  <c:v>19.263971602947517</c:v>
                </c:pt>
                <c:pt idx="35">
                  <c:v>23.724017629913732</c:v>
                </c:pt>
                <c:pt idx="36">
                  <c:v>29.239902584543472</c:v>
                </c:pt>
                <c:pt idx="37">
                  <c:v>36.06509858512247</c:v>
                </c:pt>
                <c:pt idx="38">
                  <c:v>44.514434769697424</c:v>
                </c:pt>
                <c:pt idx="39">
                  <c:v>54.978949244704623</c:v>
                </c:pt>
                <c:pt idx="40">
                  <c:v>67.94425261147326</c:v>
                </c:pt>
                <c:pt idx="41">
                  <c:v>84.013124242065388</c:v>
                </c:pt>
                <c:pt idx="42">
                  <c:v>103.93304691850312</c:v>
                </c:pt>
                <c:pt idx="43">
                  <c:v>128.62899781486024</c:v>
                </c:pt>
                <c:pt idx="44">
                  <c:v>159.23988503079184</c:v>
                </c:pt>
                <c:pt idx="45">
                  <c:v>197.14666777757762</c:v>
                </c:pt>
                <c:pt idx="46">
                  <c:v>243.88176887509334</c:v>
                </c:pt>
                <c:pt idx="47">
                  <c:v>261.44552996878923</c:v>
                </c:pt>
                <c:pt idx="48">
                  <c:v>224.78954606241871</c:v>
                </c:pt>
                <c:pt idx="49">
                  <c:v>194.44974939244423</c:v>
                </c:pt>
                <c:pt idx="50">
                  <c:v>169.30243246627344</c:v>
                </c:pt>
                <c:pt idx="51">
                  <c:v>148.42707366808702</c:v>
                </c:pt>
                <c:pt idx="52">
                  <c:v>131.06904800471972</c:v>
                </c:pt>
                <c:pt idx="53">
                  <c:v>116.60929826919678</c:v>
                </c:pt>
                <c:pt idx="54">
                  <c:v>104.53963997112805</c:v>
                </c:pt>
                <c:pt idx="55">
                  <c:v>94.442632289380384</c:v>
                </c:pt>
                <c:pt idx="56">
                  <c:v>85.975154377619319</c:v>
                </c:pt>
                <c:pt idx="57">
                  <c:v>78.854992412119287</c:v>
                </c:pt>
                <c:pt idx="58">
                  <c:v>72.849876192680185</c:v>
                </c:pt>
                <c:pt idx="59">
                  <c:v>67.768511402858238</c:v>
                </c:pt>
                <c:pt idx="60">
                  <c:v>63.453239912082125</c:v>
                </c:pt>
                <c:pt idx="61">
                  <c:v>59.774029831799432</c:v>
                </c:pt>
                <c:pt idx="62">
                  <c:v>56.623552731932797</c:v>
                </c:pt>
                <c:pt idx="63">
                  <c:v>53.913150213139566</c:v>
                </c:pt>
                <c:pt idx="64">
                  <c:v>51.569528166057665</c:v>
                </c:pt>
                <c:pt idx="65">
                  <c:v>49.550889768220095</c:v>
                </c:pt>
                <c:pt idx="66">
                  <c:v>47.783568375010262</c:v>
                </c:pt>
                <c:pt idx="67">
                  <c:v>46.227073495258111</c:v>
                </c:pt>
                <c:pt idx="68">
                  <c:v>44.847767353829319</c:v>
                </c:pt>
                <c:pt idx="69">
                  <c:v>43.61768542487161</c:v>
                </c:pt>
                <c:pt idx="70">
                  <c:v>42.513563315484717</c:v>
                </c:pt>
                <c:pt idx="71">
                  <c:v>41.516033027233235</c:v>
                </c:pt>
                <c:pt idx="72">
                  <c:v>40.608958436665588</c:v>
                </c:pt>
                <c:pt idx="73">
                  <c:v>39.778885380279497</c:v>
                </c:pt>
                <c:pt idx="74">
                  <c:v>39.014586227497766</c:v>
                </c:pt>
                <c:pt idx="75">
                  <c:v>38.306682469866288</c:v>
                </c:pt>
                <c:pt idx="76">
                  <c:v>37.647331808937096</c:v>
                </c:pt>
                <c:pt idx="77">
                  <c:v>37.029968624277167</c:v>
                </c:pt>
                <c:pt idx="78">
                  <c:v>36.44908865661661</c:v>
                </c:pt>
                <c:pt idx="79">
                  <c:v>35.900070337333013</c:v>
                </c:pt>
                <c:pt idx="80">
                  <c:v>35.379026504127907</c:v>
                </c:pt>
                <c:pt idx="81">
                  <c:v>34.882681319095063</c:v>
                </c:pt>
                <c:pt idx="82">
                  <c:v>34.408268093076366</c:v>
                </c:pt>
                <c:pt idx="83">
                  <c:v>33.953444453918216</c:v>
                </c:pt>
                <c:pt idx="84">
                  <c:v>33.516221903685548</c:v>
                </c:pt>
                <c:pt idx="85">
                  <c:v>33.094907313373746</c:v>
                </c:pt>
                <c:pt idx="86">
                  <c:v>32.688054321278251</c:v>
                </c:pt>
                <c:pt idx="87">
                  <c:v>32.294422947724136</c:v>
                </c:pt>
                <c:pt idx="88">
                  <c:v>31.912946026469555</c:v>
                </c:pt>
                <c:pt idx="89">
                  <c:v>31.54270129179659</c:v>
                </c:pt>
                <c:pt idx="90">
                  <c:v>31.182888158393247</c:v>
                </c:pt>
                <c:pt idx="91">
                  <c:v>30.832808395486847</c:v>
                </c:pt>
                <c:pt idx="92">
                  <c:v>30.491850033035</c:v>
                </c:pt>
                <c:pt idx="93">
                  <c:v>30.159473950864147</c:v>
                </c:pt>
                <c:pt idx="94">
                  <c:v>29.835202695421007</c:v>
                </c:pt>
                <c:pt idx="95">
                  <c:v>29.518611146553155</c:v>
                </c:pt>
                <c:pt idx="96">
                  <c:v>29.209318721191433</c:v>
                </c:pt>
                <c:pt idx="97">
                  <c:v>28.906982854237526</c:v>
                </c:pt>
                <c:pt idx="98">
                  <c:v>28.611293541248148</c:v>
                </c:pt>
                <c:pt idx="99">
                  <c:v>28.321968764216397</c:v>
                </c:pt>
                <c:pt idx="100">
                  <c:v>28.038750652178141</c:v>
                </c:pt>
                <c:pt idx="101">
                  <c:v>27.761402253593214</c:v>
                </c:pt>
                <c:pt idx="102">
                  <c:v>27.489704818357609</c:v>
                </c:pt>
                <c:pt idx="103">
                  <c:v>27.223455504637826</c:v>
                </c:pt>
                <c:pt idx="104">
                  <c:v>26.962465440088327</c:v>
                </c:pt>
                <c:pt idx="105">
                  <c:v>26.706558078931991</c:v>
                </c:pt>
                <c:pt idx="106">
                  <c:v>26.455567806266824</c:v>
                </c:pt>
                <c:pt idx="107">
                  <c:v>26.209338749161713</c:v>
                </c:pt>
                <c:pt idx="108">
                  <c:v>25.967723760906775</c:v>
                </c:pt>
                <c:pt idx="109">
                  <c:v>25.730583550429341</c:v>
                </c:pt>
                <c:pt idx="110">
                  <c:v>25.497785933572654</c:v>
                </c:pt>
                <c:pt idx="111">
                  <c:v>25.269205186825374</c:v>
                </c:pt>
                <c:pt idx="112">
                  <c:v>25.044721487321148</c:v>
                </c:pt>
                <c:pt idx="113">
                  <c:v>24.82422042561187</c:v>
                </c:pt>
                <c:pt idx="114">
                  <c:v>24.607592579949728</c:v>
                </c:pt>
                <c:pt idx="115">
                  <c:v>24.394733142666848</c:v>
                </c:pt>
                <c:pt idx="116">
                  <c:v>24.185541590784563</c:v>
                </c:pt>
                <c:pt idx="117">
                  <c:v>23.979921394266395</c:v>
                </c:pt>
                <c:pt idx="118">
                  <c:v>23.777779756398221</c:v>
                </c:pt>
                <c:pt idx="119">
                  <c:v>23.579027381667085</c:v>
                </c:pt>
                <c:pt idx="120">
                  <c:v>23.383578267251906</c:v>
                </c:pt>
                <c:pt idx="121">
                  <c:v>23.191349514856945</c:v>
                </c:pt>
                <c:pt idx="122">
                  <c:v>23.002261160133887</c:v>
                </c:pt>
                <c:pt idx="123">
                  <c:v>22.816236017368539</c:v>
                </c:pt>
                <c:pt idx="124">
                  <c:v>22.633199537467732</c:v>
                </c:pt>
                <c:pt idx="125">
                  <c:v>22.453079677581883</c:v>
                </c:pt>
                <c:pt idx="126">
                  <c:v>22.275806780950219</c:v>
                </c:pt>
                <c:pt idx="127">
                  <c:v>22.101313465766246</c:v>
                </c:pt>
                <c:pt idx="128">
                  <c:v>21.929534522037198</c:v>
                </c:pt>
                <c:pt idx="129">
                  <c:v>21.758728718728634</c:v>
                </c:pt>
                <c:pt idx="130">
                  <c:v>21.590564454802429</c:v>
                </c:pt>
                <c:pt idx="131">
                  <c:v>21.424980717716878</c:v>
                </c:pt>
                <c:pt idx="132">
                  <c:v>21.261918390781602</c:v>
                </c:pt>
                <c:pt idx="133">
                  <c:v>21.10132017536576</c:v>
                </c:pt>
                <c:pt idx="134">
                  <c:v>20.94313051760129</c:v>
                </c:pt>
                <c:pt idx="135">
                  <c:v>20.787295539186324</c:v>
                </c:pt>
                <c:pt idx="136">
                  <c:v>20.633762971944538</c:v>
                </c:pt>
                <c:pt idx="137">
                  <c:v>20.482482095836634</c:v>
                </c:pt>
                <c:pt idx="138">
                  <c:v>20.333403680155897</c:v>
                </c:pt>
                <c:pt idx="139">
                  <c:v>20.186479927670202</c:v>
                </c:pt>
                <c:pt idx="140">
                  <c:v>20.041664421498744</c:v>
                </c:pt>
                <c:pt idx="141">
                  <c:v>19.898912074533715</c:v>
                </c:pt>
                <c:pt idx="142">
                  <c:v>19.758179081236982</c:v>
                </c:pt>
                <c:pt idx="143">
                  <c:v>19.619422871658212</c:v>
                </c:pt>
                <c:pt idx="144">
                  <c:v>19.482602067535154</c:v>
                </c:pt>
                <c:pt idx="145">
                  <c:v>19.347676440349904</c:v>
                </c:pt>
                <c:pt idx="146">
                  <c:v>19.214606871225453</c:v>
                </c:pt>
                <c:pt idx="147">
                  <c:v>19.083355312557249</c:v>
                </c:pt>
                <c:pt idx="148">
                  <c:v>18.953884751282345</c:v>
                </c:pt>
                <c:pt idx="149">
                  <c:v>18.826159173696794</c:v>
                </c:pt>
                <c:pt idx="150">
                  <c:v>18.700143531738576</c:v>
                </c:pt>
                <c:pt idx="151">
                  <c:v>18.575803710659326</c:v>
                </c:pt>
                <c:pt idx="152">
                  <c:v>18.453106498013703</c:v>
                </c:pt>
                <c:pt idx="153">
                  <c:v>18.332019553899752</c:v>
                </c:pt>
                <c:pt idx="154">
                  <c:v>18.212511382388637</c:v>
                </c:pt>
                <c:pt idx="155">
                  <c:v>18.094551304085449</c:v>
                </c:pt>
                <c:pt idx="156">
                  <c:v>17.978109429767002</c:v>
                </c:pt>
                <c:pt idx="157">
                  <c:v>17.863156635045303</c:v>
                </c:pt>
                <c:pt idx="158">
                  <c:v>17.74966453600917</c:v>
                </c:pt>
                <c:pt idx="159">
                  <c:v>17.637605465798355</c:v>
                </c:pt>
                <c:pt idx="160">
                  <c:v>17.526952452067864</c:v>
                </c:pt>
                <c:pt idx="161">
                  <c:v>17.417679195302277</c:v>
                </c:pt>
                <c:pt idx="162">
                  <c:v>17.309760047941989</c:v>
                </c:pt>
                <c:pt idx="163">
                  <c:v>17.203169994285435</c:v>
                </c:pt>
                <c:pt idx="164">
                  <c:v>17.097884631133315</c:v>
                </c:pt>
                <c:pt idx="165">
                  <c:v>16.993880149142704</c:v>
                </c:pt>
                <c:pt idx="166">
                  <c:v>16.891133314860184</c:v>
                </c:pt>
                <c:pt idx="167">
                  <c:v>16.789621453405118</c:v>
                </c:pt>
                <c:pt idx="168">
                  <c:v>16.689322431775739</c:v>
                </c:pt>
                <c:pt idx="169">
                  <c:v>16.59021464275142</c:v>
                </c:pt>
                <c:pt idx="170">
                  <c:v>16.492276989366548</c:v>
                </c:pt>
                <c:pt idx="171">
                  <c:v>16.395488869932173</c:v>
                </c:pt>
                <c:pt idx="172">
                  <c:v>16.299830163582989</c:v>
                </c:pt>
                <c:pt idx="173">
                  <c:v>16.205281216327968</c:v>
                </c:pt>
                <c:pt idx="174">
                  <c:v>16.111822827584476</c:v>
                </c:pt>
                <c:pt idx="175">
                  <c:v>16.019436237176087</c:v>
                </c:pt>
                <c:pt idx="176">
                  <c:v>15.928103112775586</c:v>
                </c:pt>
                <c:pt idx="177">
                  <c:v>15.837805537775656</c:v>
                </c:pt>
                <c:pt idx="178">
                  <c:v>15.748525999569884</c:v>
                </c:pt>
                <c:pt idx="179">
                  <c:v>15.660247378228288</c:v>
                </c:pt>
                <c:pt idx="180">
                  <c:v>15.57295293555182</c:v>
                </c:pt>
                <c:pt idx="181">
                  <c:v>15.486626304491045</c:v>
                </c:pt>
                <c:pt idx="182">
                  <c:v>15.401251478914959</c:v>
                </c:pt>
                <c:pt idx="183">
                  <c:v>15.31681280371653</c:v>
                </c:pt>
                <c:pt idx="184">
                  <c:v>15.233294965242052</c:v>
                </c:pt>
                <c:pt idx="185">
                  <c:v>15.15068298203192</c:v>
                </c:pt>
                <c:pt idx="186">
                  <c:v>15.068962195861236</c:v>
                </c:pt>
                <c:pt idx="187">
                  <c:v>14.988118263068822</c:v>
                </c:pt>
                <c:pt idx="188">
                  <c:v>14.908137146163899</c:v>
                </c:pt>
                <c:pt idx="189">
                  <c:v>14.829005105700141</c:v>
                </c:pt>
                <c:pt idx="190">
                  <c:v>14.750708692407178</c:v>
                </c:pt>
                <c:pt idx="191">
                  <c:v>14.673234739570081</c:v>
                </c:pt>
                <c:pt idx="192">
                  <c:v>14.596570355647813</c:v>
                </c:pt>
                <c:pt idx="193">
                  <c:v>14.520702917121802</c:v>
                </c:pt>
                <c:pt idx="194">
                  <c:v>14.445620061566506</c:v>
                </c:pt>
                <c:pt idx="195">
                  <c:v>14.371309680933823</c:v>
                </c:pt>
                <c:pt idx="196">
                  <c:v>14.297759915043686</c:v>
                </c:pt>
                <c:pt idx="197">
                  <c:v>14.224959145273607</c:v>
                </c:pt>
                <c:pt idx="198">
                  <c:v>14.152895988440008</c:v>
                </c:pt>
                <c:pt idx="199">
                  <c:v>14.081559290864588</c:v>
                </c:pt>
                <c:pt idx="200">
                  <c:v>14.010938122619256</c:v>
                </c:pt>
                <c:pt idx="201">
                  <c:v>13.941021771943396</c:v>
                </c:pt>
                <c:pt idx="202">
                  <c:v>13.871799739827447</c:v>
                </c:pt>
                <c:pt idx="203">
                  <c:v>13.803261734757042</c:v>
                </c:pt>
                <c:pt idx="204">
                  <c:v>13.73539766761222</c:v>
                </c:pt>
                <c:pt idx="205">
                  <c:v>13.668197646716333</c:v>
                </c:pt>
                <c:pt idx="206">
                  <c:v>13.601651973029639</c:v>
                </c:pt>
                <c:pt idx="207">
                  <c:v>13.535751135482577</c:v>
                </c:pt>
                <c:pt idx="208">
                  <c:v>13.470485806444087</c:v>
                </c:pt>
                <c:pt idx="209">
                  <c:v>13.405846837320363</c:v>
                </c:pt>
                <c:pt idx="210">
                  <c:v>13.341825254279749</c:v>
                </c:pt>
                <c:pt idx="211">
                  <c:v>13.27841225409958</c:v>
                </c:pt>
                <c:pt idx="212">
                  <c:v>13.215599200130818</c:v>
                </c:pt>
                <c:pt idx="213">
                  <c:v>13.153377618376771</c:v>
                </c:pt>
                <c:pt idx="214">
                  <c:v>13.09173919368204</c:v>
                </c:pt>
                <c:pt idx="215">
                  <c:v>13.030675766028065</c:v>
                </c:pt>
                <c:pt idx="216">
                  <c:v>12.970179326931978</c:v>
                </c:pt>
                <c:pt idx="217">
                  <c:v>12.910242015945148</c:v>
                </c:pt>
                <c:pt idx="218">
                  <c:v>12.850856117248572</c:v>
                </c:pt>
                <c:pt idx="219">
                  <c:v>12.792014056341575</c:v>
                </c:pt>
                <c:pt idx="220">
                  <c:v>12.733708396821223</c:v>
                </c:pt>
                <c:pt idx="221">
                  <c:v>12.675931837249358</c:v>
                </c:pt>
                <c:pt idx="222">
                  <c:v>12.61867720810457</c:v>
                </c:pt>
                <c:pt idx="223">
                  <c:v>12.561937468816339</c:v>
                </c:pt>
                <c:pt idx="224">
                  <c:v>12.50570570487891</c:v>
                </c:pt>
                <c:pt idx="225">
                  <c:v>12.449975125042268</c:v>
                </c:pt>
                <c:pt idx="226">
                  <c:v>12.394739058577967</c:v>
                </c:pt>
                <c:pt idx="227">
                  <c:v>12.339990952617329</c:v>
                </c:pt>
                <c:pt idx="228">
                  <c:v>12.285724369559983</c:v>
                </c:pt>
                <c:pt idx="229">
                  <c:v>12.231932984550363</c:v>
                </c:pt>
                <c:pt idx="230">
                  <c:v>12.178610583020342</c:v>
                </c:pt>
                <c:pt idx="231">
                  <c:v>12.125751058295711</c:v>
                </c:pt>
                <c:pt idx="232">
                  <c:v>12.073348409264893</c:v>
                </c:pt>
                <c:pt idx="233">
                  <c:v>12.021396738107656</c:v>
                </c:pt>
                <c:pt idx="234">
                  <c:v>11.969890248082418</c:v>
                </c:pt>
                <c:pt idx="235">
                  <c:v>11.918823241370008</c:v>
                </c:pt>
                <c:pt idx="236">
                  <c:v>11.868190116972498</c:v>
                </c:pt>
                <c:pt idx="237">
                  <c:v>11.817985368665354</c:v>
                </c:pt>
                <c:pt idx="238">
                  <c:v>11.768203583001284</c:v>
                </c:pt>
                <c:pt idx="239">
                  <c:v>11.718839437364409</c:v>
                </c:pt>
                <c:pt idx="240">
                  <c:v>11.669887698073131</c:v>
                </c:pt>
                <c:pt idx="241">
                  <c:v>11.621343218530422</c:v>
                </c:pt>
                <c:pt idx="242">
                  <c:v>11.573200937420006</c:v>
                </c:pt>
                <c:pt idx="243">
                  <c:v>11.525455876947245</c:v>
                </c:pt>
                <c:pt idx="244">
                  <c:v>11.478103141123391</c:v>
                </c:pt>
                <c:pt idx="245">
                  <c:v>11.431137914091931</c:v>
                </c:pt>
                <c:pt idx="246">
                  <c:v>11.384555458495896</c:v>
                </c:pt>
                <c:pt idx="247">
                  <c:v>11.338351113884867</c:v>
                </c:pt>
                <c:pt idx="248">
                  <c:v>11.292520295160683</c:v>
                </c:pt>
                <c:pt idx="249">
                  <c:v>11.247058491060626</c:v>
                </c:pt>
                <c:pt idx="250">
                  <c:v>11.201961262677171</c:v>
                </c:pt>
                <c:pt idx="251">
                  <c:v>11.157224242013127</c:v>
                </c:pt>
                <c:pt idx="252">
                  <c:v>11.112843130571333</c:v>
                </c:pt>
                <c:pt idx="253">
                  <c:v>11.068813697977824</c:v>
                </c:pt>
                <c:pt idx="254">
                  <c:v>11.02513178063764</c:v>
                </c:pt>
                <c:pt idx="255">
                  <c:v>10.98179328042233</c:v>
                </c:pt>
                <c:pt idx="256">
                  <c:v>10.938794163388261</c:v>
                </c:pt>
                <c:pt idx="257">
                  <c:v>10.896130458524953</c:v>
                </c:pt>
                <c:pt idx="258">
                  <c:v>10.853798256532569</c:v>
                </c:pt>
                <c:pt idx="259">
                  <c:v>10.811793708627807</c:v>
                </c:pt>
                <c:pt idx="260">
                  <c:v>10.770113025377428</c:v>
                </c:pt>
                <c:pt idx="261">
                  <c:v>10.728752475558613</c:v>
                </c:pt>
                <c:pt idx="262">
                  <c:v>10.687708385045502</c:v>
                </c:pt>
                <c:pt idx="263">
                  <c:v>10.646977135721244</c:v>
                </c:pt>
                <c:pt idx="264">
                  <c:v>10.606555164414738</c:v>
                </c:pt>
                <c:pt idx="265">
                  <c:v>10.566438961861577</c:v>
                </c:pt>
                <c:pt idx="266">
                  <c:v>10.526625071688429</c:v>
                </c:pt>
                <c:pt idx="267">
                  <c:v>10.487110089420373</c:v>
                </c:pt>
                <c:pt idx="268">
                  <c:v>10.447890661510389</c:v>
                </c:pt>
                <c:pt idx="269">
                  <c:v>10.408963484390661</c:v>
                </c:pt>
                <c:pt idx="270">
                  <c:v>10.37032530354492</c:v>
                </c:pt>
                <c:pt idx="271">
                  <c:v>10.331972912601437</c:v>
                </c:pt>
                <c:pt idx="272">
                  <c:v>10.293903152446061</c:v>
                </c:pt>
                <c:pt idx="273">
                  <c:v>10.256112910354721</c:v>
                </c:pt>
                <c:pt idx="274">
                  <c:v>10.218599119145049</c:v>
                </c:pt>
                <c:pt idx="275">
                  <c:v>10.181358756346523</c:v>
                </c:pt>
                <c:pt idx="276">
                  <c:v>10.144388843388674</c:v>
                </c:pt>
                <c:pt idx="277">
                  <c:v>10.107686444807003</c:v>
                </c:pt>
                <c:pt idx="278">
                  <c:v>10.071248667465905</c:v>
                </c:pt>
                <c:pt idx="279">
                  <c:v>10.035072659798471</c:v>
                </c:pt>
                <c:pt idx="280">
                  <c:v>9.9991556110626387</c:v>
                </c:pt>
                <c:pt idx="281">
                  <c:v>9.9634947506131475</c:v>
                </c:pt>
                <c:pt idx="282">
                  <c:v>9.9280873471891002</c:v>
                </c:pt>
                <c:pt idx="283">
                  <c:v>9.8929307082166211</c:v>
                </c:pt>
                <c:pt idx="284">
                  <c:v>9.858022179126289</c:v>
                </c:pt>
                <c:pt idx="285">
                  <c:v>9.8233591426850211</c:v>
                </c:pt>
                <c:pt idx="286">
                  <c:v>9.7889390183418836</c:v>
                </c:pt>
                <c:pt idx="287">
                  <c:v>9.7547592615877239</c:v>
                </c:pt>
                <c:pt idx="288">
                  <c:v>9.7208173633281341</c:v>
                </c:pt>
                <c:pt idx="289">
                  <c:v>9.687110849269434</c:v>
                </c:pt>
                <c:pt idx="290">
                  <c:v>9.6536372793174419</c:v>
                </c:pt>
                <c:pt idx="291">
                  <c:v>9.6203942469885817</c:v>
                </c:pt>
                <c:pt idx="292">
                  <c:v>9.5873793788331874</c:v>
                </c:pt>
                <c:pt idx="293">
                  <c:v>9.5545903338706228</c:v>
                </c:pt>
                <c:pt idx="294">
                  <c:v>9.5220248030359507</c:v>
                </c:pt>
                <c:pt idx="295">
                  <c:v>9.4896805086378819</c:v>
                </c:pt>
                <c:pt idx="296">
                  <c:v>9.4575552038277291</c:v>
                </c:pt>
                <c:pt idx="297">
                  <c:v>9.4256466720790701</c:v>
                </c:pt>
                <c:pt idx="298">
                  <c:v>9.3939527266779983</c:v>
                </c:pt>
                <c:pt idx="299">
                  <c:v>9.3624712102235748</c:v>
                </c:pt>
                <c:pt idx="300">
                  <c:v>9.3311999941382826</c:v>
                </c:pt>
                <c:pt idx="301">
                  <c:v>9.3001369781882648</c:v>
                </c:pt>
                <c:pt idx="302">
                  <c:v>9.2692800900131047</c:v>
                </c:pt>
                <c:pt idx="303">
                  <c:v>9.2386272846649806</c:v>
                </c:pt>
                <c:pt idx="304">
                  <c:v>9.2081765441568812</c:v>
                </c:pt>
                <c:pt idx="305">
                  <c:v>9.1779258770197281</c:v>
                </c:pt>
                <c:pt idx="306">
                  <c:v>9.1478733178682727</c:v>
                </c:pt>
                <c:pt idx="307">
                  <c:v>9.1180169269753968</c:v>
                </c:pt>
                <c:pt idx="308">
                  <c:v>9.0883547898547832</c:v>
                </c:pt>
                <c:pt idx="309">
                  <c:v>9.0588850168516704</c:v>
                </c:pt>
                <c:pt idx="310">
                  <c:v>9.029605742741559</c:v>
                </c:pt>
                <c:pt idx="311">
                  <c:v>9.0005151263367402</c:v>
                </c:pt>
                <c:pt idx="312">
                  <c:v>8.9716113501002486</c:v>
                </c:pt>
                <c:pt idx="313">
                  <c:v>8.9428926197673952</c:v>
                </c:pt>
                <c:pt idx="314">
                  <c:v>8.9143571639744206</c:v>
                </c:pt>
                <c:pt idx="315">
                  <c:v>8.886003233894332</c:v>
                </c:pt>
                <c:pt idx="316">
                  <c:v>8.857829102879629</c:v>
                </c:pt>
                <c:pt idx="317">
                  <c:v>8.829833066111755</c:v>
                </c:pt>
                <c:pt idx="318">
                  <c:v>8.8020134402572676</c:v>
                </c:pt>
                <c:pt idx="319">
                  <c:v>8.7743685631304125</c:v>
                </c:pt>
                <c:pt idx="320">
                  <c:v>8.7468967933620778</c:v>
                </c:pt>
                <c:pt idx="321">
                  <c:v>8.7195965100749326</c:v>
                </c:pt>
                <c:pt idx="322">
                  <c:v>8.6924661125646256</c:v>
                </c:pt>
                <c:pt idx="323">
                  <c:v>8.6655040199869582</c:v>
                </c:pt>
                <c:pt idx="324">
                  <c:v>8.638708671050777</c:v>
                </c:pt>
                <c:pt idx="325">
                  <c:v>8.6120785237166331</c:v>
                </c:pt>
                <c:pt idx="326">
                  <c:v>8.5856120549009525</c:v>
                </c:pt>
                <c:pt idx="327">
                  <c:v>8.55930776018565</c:v>
                </c:pt>
                <c:pt idx="328">
                  <c:v>8.5331641535330753</c:v>
                </c:pt>
                <c:pt idx="329">
                  <c:v>8.50717976700615</c:v>
                </c:pt>
                <c:pt idx="330">
                  <c:v>8.4813531504936392</c:v>
                </c:pt>
                <c:pt idx="331">
                  <c:v>8.4556828714403487</c:v>
                </c:pt>
                <c:pt idx="332">
                  <c:v>8.4301675145822745</c:v>
                </c:pt>
                <c:pt idx="333">
                  <c:v>8.40480568168649</c:v>
                </c:pt>
                <c:pt idx="334">
                  <c:v>8.379595991295723</c:v>
                </c:pt>
                <c:pt idx="335">
                  <c:v>8.3545370784775255</c:v>
                </c:pt>
                <c:pt idx="336">
                  <c:v>8.3296275945779357</c:v>
                </c:pt>
                <c:pt idx="337">
                  <c:v>8.3048662069795132</c:v>
                </c:pt>
                <c:pt idx="338">
                  <c:v>8.2802515988637015</c:v>
                </c:pt>
                <c:pt idx="339">
                  <c:v>8.2557824689773529</c:v>
                </c:pt>
                <c:pt idx="340">
                  <c:v>8.231457531403457</c:v>
                </c:pt>
                <c:pt idx="341">
                  <c:v>8.2072755153358639</c:v>
                </c:pt>
                <c:pt idx="342">
                  <c:v>8.183235164857944</c:v>
                </c:pt>
                <c:pt idx="343">
                  <c:v>8.1593352387251912</c:v>
                </c:pt>
                <c:pt idx="344">
                  <c:v>8.1355745101515797</c:v>
                </c:pt>
                <c:pt idx="345">
                  <c:v>8.111951766599649</c:v>
                </c:pt>
                <c:pt idx="346">
                  <c:v>8.088465809574247</c:v>
                </c:pt>
                <c:pt idx="347">
                  <c:v>8.0651154544198249</c:v>
                </c:pt>
                <c:pt idx="348">
                  <c:v>8.0418995301212544</c:v>
                </c:pt>
                <c:pt idx="349">
                  <c:v>8.0188168791080638</c:v>
                </c:pt>
                <c:pt idx="350">
                  <c:v>7.9958663570620487</c:v>
                </c:pt>
                <c:pt idx="351">
                  <c:v>7.9730468327281656</c:v>
                </c:pt>
                <c:pt idx="352">
                  <c:v>7.9503571877286419</c:v>
                </c:pt>
                <c:pt idx="353">
                  <c:v>7.9277963163802774</c:v>
                </c:pt>
                <c:pt idx="354">
                  <c:v>7.9053631255148415</c:v>
                </c:pt>
                <c:pt idx="355">
                  <c:v>7.883056534302483</c:v>
                </c:pt>
                <c:pt idx="356">
                  <c:v>7.8608754740781768</c:v>
                </c:pt>
                <c:pt idx="357">
                  <c:v>7.8388188881710263</c:v>
                </c:pt>
                <c:pt idx="358">
                  <c:v>7.8168857317364839</c:v>
                </c:pt>
                <c:pt idx="359">
                  <c:v>7.7950749715913537</c:v>
                </c:pt>
                <c:pt idx="360">
                  <c:v>7.7733855860515613</c:v>
                </c:pt>
                <c:pt idx="361">
                  <c:v>7.7518165647726223</c:v>
                </c:pt>
                <c:pt idx="362">
                  <c:v>7.7303669085927273</c:v>
                </c:pt>
                <c:pt idx="363">
                  <c:v>7.7090356293785023</c:v>
                </c:pt>
                <c:pt idx="364">
                  <c:v>7.6878217498732182</c:v>
                </c:pt>
                <c:pt idx="365">
                  <c:v>7.6667243035475883</c:v>
                </c:pt>
                <c:pt idx="366">
                  <c:v>7.6457423344529447</c:v>
                </c:pt>
                <c:pt idx="367">
                  <c:v>7.6248748970768769</c:v>
                </c:pt>
                <c:pt idx="368">
                  <c:v>7.6041210562011763</c:v>
                </c:pt>
                <c:pt idx="369">
                  <c:v>7.5834798867621513</c:v>
                </c:pt>
                <c:pt idx="370">
                  <c:v>7.5629504737131406</c:v>
                </c:pt>
                <c:pt idx="371">
                  <c:v>7.5425319118893226</c:v>
                </c:pt>
                <c:pt idx="372">
                  <c:v>7.5222233058746681</c:v>
                </c:pt>
                <c:pt idx="373">
                  <c:v>7.5020237698710472</c:v>
                </c:pt>
                <c:pt idx="374">
                  <c:v>7.4819324275694452</c:v>
                </c:pt>
                <c:pt idx="375">
                  <c:v>7.4619484120232222</c:v>
                </c:pt>
                <c:pt idx="376">
                  <c:v>7.4420708655234264</c:v>
                </c:pt>
                <c:pt idx="377">
                  <c:v>7.4222989394760797</c:v>
                </c:pt>
                <c:pt idx="378">
                  <c:v>7.4026317942814215</c:v>
                </c:pt>
                <c:pt idx="379">
                  <c:v>7.3830685992150409</c:v>
                </c:pt>
                <c:pt idx="380">
                  <c:v>7.3636085323109377</c:v>
                </c:pt>
                <c:pt idx="381">
                  <c:v>7.344250780246373</c:v>
                </c:pt>
                <c:pt idx="382">
                  <c:v>7.3249945382285828</c:v>
                </c:pt>
                <c:pt idx="383">
                  <c:v>7.3058390098832247</c:v>
                </c:pt>
                <c:pt idx="384">
                  <c:v>7.2867834071445969</c:v>
                </c:pt>
                <c:pt idx="385">
                  <c:v>7.2678269501475734</c:v>
                </c:pt>
                <c:pt idx="386">
                  <c:v>7.2489688671212162</c:v>
                </c:pt>
                <c:pt idx="387">
                  <c:v>7.2302083942839914</c:v>
                </c:pt>
                <c:pt idx="388">
                  <c:v>7.211544775740709</c:v>
                </c:pt>
                <c:pt idx="389">
                  <c:v>7.192977263380973</c:v>
                </c:pt>
                <c:pt idx="390">
                  <c:v>7.1745051167792226</c:v>
                </c:pt>
                <c:pt idx="391">
                  <c:v>7.1561276030962997</c:v>
                </c:pt>
                <c:pt idx="392">
                  <c:v>7.1378439969825402</c:v>
                </c:pt>
                <c:pt idx="393">
                  <c:v>7.1196535804823702</c:v>
                </c:pt>
                <c:pt idx="394">
                  <c:v>7.1015556429402764</c:v>
                </c:pt>
                <c:pt idx="395">
                  <c:v>7.0835494809082906</c:v>
                </c:pt>
                <c:pt idx="396">
                  <c:v>7.0656343980548533</c:v>
                </c:pt>
                <c:pt idx="397">
                  <c:v>7.0478097050750046</c:v>
                </c:pt>
                <c:pt idx="398">
                  <c:v>7.030074719602041</c:v>
                </c:pt>
                <c:pt idx="399">
                  <c:v>7.0124287661203946</c:v>
                </c:pt>
                <c:pt idx="400">
                  <c:v>6.994871175879867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FBD-4639-BBAB-B7E8190679C1}"/>
            </c:ext>
          </c:extLst>
        </c:ser>
        <c:ser>
          <c:idx val="2"/>
          <c:order val="2"/>
          <c:tx>
            <c:strRef>
              <c:f>Visualization!$D$17</c:f>
              <c:strCache>
                <c:ptCount val="1"/>
                <c:pt idx="0">
                  <c:v>S (g/L)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Visualization!$A$18:$A$418</c:f>
              <c:numCache>
                <c:formatCode>0.000</c:formatCode>
                <c:ptCount val="4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</c:numCache>
            </c:numRef>
          </c:xVal>
          <c:yVal>
            <c:numRef>
              <c:f>Visualization!$D$18:$D$418</c:f>
              <c:numCache>
                <c:formatCode>0.000</c:formatCode>
                <c:ptCount val="401"/>
                <c:pt idx="0">
                  <c:v>300.00427919993592</c:v>
                </c:pt>
                <c:pt idx="1">
                  <c:v>400.59077619477705</c:v>
                </c:pt>
                <c:pt idx="2">
                  <c:v>410.41195570469648</c:v>
                </c:pt>
                <c:pt idx="3">
                  <c:v>414.1430345814332</c:v>
                </c:pt>
                <c:pt idx="4">
                  <c:v>416.08627053233329</c:v>
                </c:pt>
                <c:pt idx="5">
                  <c:v>417.27223611892271</c:v>
                </c:pt>
                <c:pt idx="6">
                  <c:v>418.06561889483925</c:v>
                </c:pt>
                <c:pt idx="7">
                  <c:v>418.62788156871846</c:v>
                </c:pt>
                <c:pt idx="8">
                  <c:v>419.0411485758886</c:v>
                </c:pt>
                <c:pt idx="9">
                  <c:v>419.35122414113016</c:v>
                </c:pt>
                <c:pt idx="10">
                  <c:v>419.58526220463347</c:v>
                </c:pt>
                <c:pt idx="11">
                  <c:v>419.75993089264722</c:v>
                </c:pt>
                <c:pt idx="12">
                  <c:v>419.88551925338106</c:v>
                </c:pt>
                <c:pt idx="13">
                  <c:v>419.96812888086623</c:v>
                </c:pt>
                <c:pt idx="14">
                  <c:v>420.01088298265682</c:v>
                </c:pt>
                <c:pt idx="15">
                  <c:v>420.01459148981701</c:v>
                </c:pt>
                <c:pt idx="16">
                  <c:v>419.97809061513465</c:v>
                </c:pt>
                <c:pt idx="17">
                  <c:v>419.89938488918875</c:v>
                </c:pt>
                <c:pt idx="18">
                  <c:v>419.7735804129008</c:v>
                </c:pt>
                <c:pt idx="19">
                  <c:v>419.5939947513055</c:v>
                </c:pt>
                <c:pt idx="20">
                  <c:v>419.35173777919141</c:v>
                </c:pt>
                <c:pt idx="21">
                  <c:v>419.03533991256558</c:v>
                </c:pt>
                <c:pt idx="22">
                  <c:v>418.63025536602521</c:v>
                </c:pt>
                <c:pt idx="23">
                  <c:v>418.11822095243241</c:v>
                </c:pt>
                <c:pt idx="24">
                  <c:v>417.47644289890752</c:v>
                </c:pt>
                <c:pt idx="25">
                  <c:v>416.67657530148301</c:v>
                </c:pt>
                <c:pt idx="26">
                  <c:v>415.68344355890736</c:v>
                </c:pt>
                <c:pt idx="27">
                  <c:v>414.45345380932133</c:v>
                </c:pt>
                <c:pt idx="28">
                  <c:v>412.93261438859548</c:v>
                </c:pt>
                <c:pt idx="29">
                  <c:v>411.05407688478334</c:v>
                </c:pt>
                <c:pt idx="30">
                  <c:v>408.73508158608513</c:v>
                </c:pt>
                <c:pt idx="31">
                  <c:v>405.87316393085979</c:v>
                </c:pt>
                <c:pt idx="32">
                  <c:v>402.34144365741497</c:v>
                </c:pt>
                <c:pt idx="33">
                  <c:v>397.93438931843667</c:v>
                </c:pt>
                <c:pt idx="34">
                  <c:v>392.48288967363425</c:v>
                </c:pt>
                <c:pt idx="35">
                  <c:v>385.73758416711144</c:v>
                </c:pt>
                <c:pt idx="36">
                  <c:v>377.3887570788782</c:v>
                </c:pt>
                <c:pt idx="37">
                  <c:v>367.05165532346018</c:v>
                </c:pt>
                <c:pt idx="38">
                  <c:v>354.24824061931838</c:v>
                </c:pt>
                <c:pt idx="39">
                  <c:v>338.3845336289138</c:v>
                </c:pt>
                <c:pt idx="40">
                  <c:v>318.72253615745166</c:v>
                </c:pt>
                <c:pt idx="41">
                  <c:v>294.34554895333196</c:v>
                </c:pt>
                <c:pt idx="42">
                  <c:v>264.11561315664852</c:v>
                </c:pt>
                <c:pt idx="43">
                  <c:v>226.62206570708577</c:v>
                </c:pt>
                <c:pt idx="44">
                  <c:v>180.12196218764359</c:v>
                </c:pt>
                <c:pt idx="45">
                  <c:v>122.48302567999804</c:v>
                </c:pt>
                <c:pt idx="46">
                  <c:v>51.232622260926739</c:v>
                </c:pt>
                <c:pt idx="47">
                  <c:v>-0.33432303199763203</c:v>
                </c:pt>
                <c:pt idx="48">
                  <c:v>-0.32509216569906907</c:v>
                </c:pt>
                <c:pt idx="49">
                  <c:v>-0.31478430729108048</c:v>
                </c:pt>
                <c:pt idx="50">
                  <c:v>-0.30336618845435465</c:v>
                </c:pt>
                <c:pt idx="51">
                  <c:v>-0.29083294906091656</c:v>
                </c:pt>
                <c:pt idx="52">
                  <c:v>-0.27721474140869312</c:v>
                </c:pt>
                <c:pt idx="53">
                  <c:v>-0.26258190474836662</c:v>
                </c:pt>
                <c:pt idx="54">
                  <c:v>-0.24704774965916543</c:v>
                </c:pt>
                <c:pt idx="55">
                  <c:v>-0.23076809403955778</c:v>
                </c:pt>
                <c:pt idx="56">
                  <c:v>-0.21393700405406219</c:v>
                </c:pt>
                <c:pt idx="57">
                  <c:v>-0.1967786961272884</c:v>
                </c:pt>
                <c:pt idx="58">
                  <c:v>-0.1795361650877963</c:v>
                </c:pt>
                <c:pt idx="59">
                  <c:v>-0.16245768136355049</c:v>
                </c:pt>
                <c:pt idx="60">
                  <c:v>-0.1457826970636325</c:v>
                </c:pt>
                <c:pt idx="61">
                  <c:v>-0.12972880742349938</c:v>
                </c:pt>
                <c:pt idx="62">
                  <c:v>-0.11448120220930448</c:v>
                </c:pt>
                <c:pt idx="63">
                  <c:v>-0.10018557399691327</c:v>
                </c:pt>
                <c:pt idx="64">
                  <c:v>-8.6944854873711799E-2</c:v>
                </c:pt>
                <c:pt idx="65">
                  <c:v>-7.4934061625913664E-2</c:v>
                </c:pt>
                <c:pt idx="66">
                  <c:v>-6.4037791185912782E-2</c:v>
                </c:pt>
                <c:pt idx="67">
                  <c:v>-5.4244646193328333E-2</c:v>
                </c:pt>
                <c:pt idx="68">
                  <c:v>-4.5517068541252807E-2</c:v>
                </c:pt>
                <c:pt idx="69">
                  <c:v>-3.7797869230043205E-2</c:v>
                </c:pt>
                <c:pt idx="70">
                  <c:v>-3.1016443544183481E-2</c:v>
                </c:pt>
                <c:pt idx="71">
                  <c:v>-2.5094266092134887E-2</c:v>
                </c:pt>
                <c:pt idx="72">
                  <c:v>-1.9949451570252703E-2</c:v>
                </c:pt>
                <c:pt idx="73">
                  <c:v>-1.5500321160347478E-2</c:v>
                </c:pt>
                <c:pt idx="74">
                  <c:v>-1.1668022811067864E-2</c:v>
                </c:pt>
                <c:pt idx="75">
                  <c:v>-8.3783186738967588E-3</c:v>
                </c:pt>
                <c:pt idx="76">
                  <c:v>-5.5626828722661727E-3</c:v>
                </c:pt>
                <c:pt idx="77">
                  <c:v>-3.1588576293903885E-3</c:v>
                </c:pt>
                <c:pt idx="78">
                  <c:v>-1.1110049481407292E-3</c:v>
                </c:pt>
                <c:pt idx="79">
                  <c:v>6.304279768524284E-4</c:v>
                </c:pt>
                <c:pt idx="80">
                  <c:v>2.1090333093823871E-3</c:v>
                </c:pt>
                <c:pt idx="81">
                  <c:v>3.3628821538839297E-3</c:v>
                </c:pt>
                <c:pt idx="82">
                  <c:v>4.4250232773193681E-3</c:v>
                </c:pt>
                <c:pt idx="83">
                  <c:v>5.3240010027198392E-3</c:v>
                </c:pt>
                <c:pt idx="84">
                  <c:v>6.0843650086927076E-3</c:v>
                </c:pt>
                <c:pt idx="85">
                  <c:v>6.7271545120610558E-3</c:v>
                </c:pt>
                <c:pt idx="86">
                  <c:v>7.2703465263285697E-3</c:v>
                </c:pt>
                <c:pt idx="87">
                  <c:v>7.7292630528548933E-3</c:v>
                </c:pt>
                <c:pt idx="88">
                  <c:v>8.1169356247210132E-3</c:v>
                </c:pt>
                <c:pt idx="89">
                  <c:v>8.4444279764799308E-3</c:v>
                </c:pt>
                <c:pt idx="90">
                  <c:v>8.7211190779505707E-3</c:v>
                </c:pt>
                <c:pt idx="91">
                  <c:v>8.9549496010947974E-3</c:v>
                </c:pt>
                <c:pt idx="92">
                  <c:v>9.1526352802313148E-3</c:v>
                </c:pt>
                <c:pt idx="93">
                  <c:v>9.319850722444482E-3</c:v>
                </c:pt>
                <c:pt idx="94">
                  <c:v>9.4613871325241825E-3</c:v>
                </c:pt>
                <c:pt idx="95">
                  <c:v>9.5812872102698354E-3</c:v>
                </c:pt>
                <c:pt idx="96">
                  <c:v>9.6829602096448926E-3</c:v>
                </c:pt>
                <c:pt idx="97">
                  <c:v>9.7692798543889507E-3</c:v>
                </c:pt>
                <c:pt idx="98">
                  <c:v>9.8426675063197407E-3</c:v>
                </c:pt>
                <c:pt idx="99">
                  <c:v>9.9051626951284135E-3</c:v>
                </c:pt>
                <c:pt idx="100">
                  <c:v>9.9584828503590257E-3</c:v>
                </c:pt>
                <c:pt idx="101">
                  <c:v>1.0004073831765905E-2</c:v>
                </c:pt>
                <c:pt idx="102">
                  <c:v>1.0043152634982559E-2</c:v>
                </c:pt>
                <c:pt idx="103">
                  <c:v>1.007674345516435E-2</c:v>
                </c:pt>
                <c:pt idx="104">
                  <c:v>1.0105708120920197E-2</c:v>
                </c:pt>
                <c:pt idx="105">
                  <c:v>1.0130771762484746E-2</c:v>
                </c:pt>
                <c:pt idx="106">
                  <c:v>1.0152544449742023E-2</c:v>
                </c:pt>
                <c:pt idx="107">
                  <c:v>1.0171539425181415E-2</c:v>
                </c:pt>
                <c:pt idx="108">
                  <c:v>1.0188188462072553E-2</c:v>
                </c:pt>
                <c:pt idx="109">
                  <c:v>1.0202854797099566E-2</c:v>
                </c:pt>
                <c:pt idx="110">
                  <c:v>1.021584401760345E-2</c:v>
                </c:pt>
                <c:pt idx="111">
                  <c:v>1.0227413224795154E-2</c:v>
                </c:pt>
                <c:pt idx="112">
                  <c:v>1.0237778744382533E-2</c:v>
                </c:pt>
                <c:pt idx="113">
                  <c:v>1.0247122613740967E-2</c:v>
                </c:pt>
                <c:pt idx="114">
                  <c:v>1.025559803890338E-2</c:v>
                </c:pt>
                <c:pt idx="115">
                  <c:v>1.0263333984343818E-2</c:v>
                </c:pt>
                <c:pt idx="116">
                  <c:v>1.0270439032899013E-2</c:v>
                </c:pt>
                <c:pt idx="117">
                  <c:v>1.0277004631552561E-2</c:v>
                </c:pt>
                <c:pt idx="118">
                  <c:v>1.0283107820523697E-2</c:v>
                </c:pt>
                <c:pt idx="119">
                  <c:v>1.0288813527729418E-2</c:v>
                </c:pt>
                <c:pt idx="120">
                  <c:v>1.0294176497689976E-2</c:v>
                </c:pt>
                <c:pt idx="121">
                  <c:v>1.0299242913009776E-2</c:v>
                </c:pt>
                <c:pt idx="122">
                  <c:v>1.0304051757350116E-2</c:v>
                </c:pt>
                <c:pt idx="123">
                  <c:v>1.0308635961051667E-2</c:v>
                </c:pt>
                <c:pt idx="124">
                  <c:v>1.0313023364020247E-2</c:v>
                </c:pt>
                <c:pt idx="125">
                  <c:v>1.0317237524995635E-2</c:v>
                </c:pt>
                <c:pt idx="126">
                  <c:v>1.0321298401690701E-2</c:v>
                </c:pt>
                <c:pt idx="127">
                  <c:v>1.032522292239319E-2</c:v>
                </c:pt>
                <c:pt idx="128">
                  <c:v>1.032902546634196E-2</c:v>
                </c:pt>
                <c:pt idx="129">
                  <c:v>1.0332754677885763E-2</c:v>
                </c:pt>
                <c:pt idx="130">
                  <c:v>1.0336382673679305E-2</c:v>
                </c:pt>
                <c:pt idx="131">
                  <c:v>1.0339918609603536E-2</c:v>
                </c:pt>
                <c:pt idx="132">
                  <c:v>1.034337031263634E-2</c:v>
                </c:pt>
                <c:pt idx="133">
                  <c:v>1.0346744491639194E-2</c:v>
                </c:pt>
                <c:pt idx="134">
                  <c:v>1.0350046914211037E-2</c:v>
                </c:pt>
                <c:pt idx="135">
                  <c:v>1.0353282555090831E-2</c:v>
                </c:pt>
                <c:pt idx="136">
                  <c:v>1.0356455720691935E-2</c:v>
                </c:pt>
                <c:pt idx="137">
                  <c:v>1.0359570153615836E-2</c:v>
                </c:pt>
                <c:pt idx="138">
                  <c:v>1.0362629120381613E-2</c:v>
                </c:pt>
                <c:pt idx="139">
                  <c:v>1.0365635485074061E-2</c:v>
                </c:pt>
                <c:pt idx="140">
                  <c:v>1.0368591771180704E-2</c:v>
                </c:pt>
                <c:pt idx="141">
                  <c:v>1.037150021352656E-2</c:v>
                </c:pt>
                <c:pt idx="142">
                  <c:v>1.0374362801902546E-2</c:v>
                </c:pt>
                <c:pt idx="143">
                  <c:v>1.0377181317734876E-2</c:v>
                </c:pt>
                <c:pt idx="144">
                  <c:v>1.0379957364902393E-2</c:v>
                </c:pt>
                <c:pt idx="145">
                  <c:v>1.0382692395650045E-2</c:v>
                </c:pt>
                <c:pt idx="146">
                  <c:v>1.0385387732402331E-2</c:v>
                </c:pt>
                <c:pt idx="147">
                  <c:v>1.0388044586121909E-2</c:v>
                </c:pt>
                <c:pt idx="148">
                  <c:v>1.039066407177742E-2</c:v>
                </c:pt>
                <c:pt idx="149">
                  <c:v>1.0393247221383555E-2</c:v>
                </c:pt>
                <c:pt idx="150">
                  <c:v>1.0395794995002412E-2</c:v>
                </c:pt>
                <c:pt idx="151">
                  <c:v>1.0398308290039671E-2</c:v>
                </c:pt>
                <c:pt idx="152">
                  <c:v>1.0400787949097998E-2</c:v>
                </c:pt>
                <c:pt idx="153">
                  <c:v>1.0403234766634305E-2</c:v>
                </c:pt>
                <c:pt idx="154">
                  <c:v>1.0405649494598079E-2</c:v>
                </c:pt>
                <c:pt idx="155">
                  <c:v>1.0408032847223816E-2</c:v>
                </c:pt>
                <c:pt idx="156">
                  <c:v>1.0410385505104338E-2</c:v>
                </c:pt>
                <c:pt idx="157">
                  <c:v>1.0412708118670727E-2</c:v>
                </c:pt>
                <c:pt idx="158">
                  <c:v>1.0415001311157079E-2</c:v>
                </c:pt>
                <c:pt idx="159">
                  <c:v>1.0417265681147189E-2</c:v>
                </c:pt>
                <c:pt idx="160">
                  <c:v>1.041950180476048E-2</c:v>
                </c:pt>
                <c:pt idx="161">
                  <c:v>1.0421710237536172E-2</c:v>
                </c:pt>
                <c:pt idx="162">
                  <c:v>1.0423891516061042E-2</c:v>
                </c:pt>
                <c:pt idx="163">
                  <c:v>1.0426046159384297E-2</c:v>
                </c:pt>
                <c:pt idx="164">
                  <c:v>1.0428174670251993E-2</c:v>
                </c:pt>
                <c:pt idx="165">
                  <c:v>1.0430277536181245E-2</c:v>
                </c:pt>
                <c:pt idx="166">
                  <c:v>1.043235523041001E-2</c:v>
                </c:pt>
                <c:pt idx="167">
                  <c:v>1.0434408212736074E-2</c:v>
                </c:pt>
                <c:pt idx="168">
                  <c:v>1.04364369302569E-2</c:v>
                </c:pt>
                <c:pt idx="169">
                  <c:v>1.0438441818033068E-2</c:v>
                </c:pt>
                <c:pt idx="170">
                  <c:v>1.0440423299682399E-2</c:v>
                </c:pt>
                <c:pt idx="171">
                  <c:v>1.044238178791634E-2</c:v>
                </c:pt>
                <c:pt idx="172">
                  <c:v>1.0444317685022849E-2</c:v>
                </c:pt>
                <c:pt idx="173">
                  <c:v>1.0446231383309336E-2</c:v>
                </c:pt>
                <c:pt idx="174">
                  <c:v>1.0448123265506409E-2</c:v>
                </c:pt>
                <c:pt idx="175">
                  <c:v>1.0449993705138041E-2</c:v>
                </c:pt>
                <c:pt idx="176">
                  <c:v>1.0451843066867179E-2</c:v>
                </c:pt>
                <c:pt idx="177">
                  <c:v>1.045367170681254E-2</c:v>
                </c:pt>
                <c:pt idx="178">
                  <c:v>1.0455479972845551E-2</c:v>
                </c:pt>
                <c:pt idx="179">
                  <c:v>1.0457268204869065E-2</c:v>
                </c:pt>
                <c:pt idx="180">
                  <c:v>1.0459036735077176E-2</c:v>
                </c:pt>
                <c:pt idx="181">
                  <c:v>1.0460785888200508E-2</c:v>
                </c:pt>
                <c:pt idx="182">
                  <c:v>1.0462515981739744E-2</c:v>
                </c:pt>
                <c:pt idx="183">
                  <c:v>1.0464227326185198E-2</c:v>
                </c:pt>
                <c:pt idx="184">
                  <c:v>1.0465920225225267E-2</c:v>
                </c:pt>
                <c:pt idx="185">
                  <c:v>1.0467594975946987E-2</c:v>
                </c:pt>
                <c:pt idx="186">
                  <c:v>1.0469251869025507E-2</c:v>
                </c:pt>
                <c:pt idx="187">
                  <c:v>1.0470891188905951E-2</c:v>
                </c:pt>
                <c:pt idx="188">
                  <c:v>1.0472513213977873E-2</c:v>
                </c:pt>
                <c:pt idx="189">
                  <c:v>1.0474118216742621E-2</c:v>
                </c:pt>
                <c:pt idx="190">
                  <c:v>1.0475706463973906E-2</c:v>
                </c:pt>
                <c:pt idx="191">
                  <c:v>1.0477278216872665E-2</c:v>
                </c:pt>
                <c:pt idx="192">
                  <c:v>1.0478833731215184E-2</c:v>
                </c:pt>
                <c:pt idx="193">
                  <c:v>1.0480373257497407E-2</c:v>
                </c:pt>
                <c:pt idx="194">
                  <c:v>1.0481897041073343E-2</c:v>
                </c:pt>
                <c:pt idx="195">
                  <c:v>1.0483405322287568E-2</c:v>
                </c:pt>
                <c:pt idx="196">
                  <c:v>1.0484898336606185E-2</c:v>
                </c:pt>
                <c:pt idx="197">
                  <c:v>1.0486376314740474E-2</c:v>
                </c:pt>
                <c:pt idx="198">
                  <c:v>1.0487839482768217E-2</c:v>
                </c:pt>
                <c:pt idx="199">
                  <c:v>1.0489288062249623E-2</c:v>
                </c:pt>
                <c:pt idx="200">
                  <c:v>1.0490722270342444E-2</c:v>
                </c:pt>
                <c:pt idx="201">
                  <c:v>1.0492142319910651E-2</c:v>
                </c:pt>
                <c:pt idx="202">
                  <c:v>1.0493548419630011E-2</c:v>
                </c:pt>
                <c:pt idx="203">
                  <c:v>1.0494940774092514E-2</c:v>
                </c:pt>
                <c:pt idx="204">
                  <c:v>1.0496319583905067E-2</c:v>
                </c:pt>
                <c:pt idx="205">
                  <c:v>1.0497685045788012E-2</c:v>
                </c:pt>
                <c:pt idx="206">
                  <c:v>1.0499037352666874E-2</c:v>
                </c:pt>
                <c:pt idx="207">
                  <c:v>1.0500376693766482E-2</c:v>
                </c:pt>
                <c:pt idx="208">
                  <c:v>1.0501703254696907E-2</c:v>
                </c:pt>
                <c:pt idx="209">
                  <c:v>1.0503017217540987E-2</c:v>
                </c:pt>
                <c:pt idx="210">
                  <c:v>1.0504318760938342E-2</c:v>
                </c:pt>
                <c:pt idx="211">
                  <c:v>1.0505608060164998E-2</c:v>
                </c:pt>
                <c:pt idx="212">
                  <c:v>1.0506885287213668E-2</c:v>
                </c:pt>
                <c:pt idx="213">
                  <c:v>1.0508150610870253E-2</c:v>
                </c:pt>
                <c:pt idx="214">
                  <c:v>1.0509404196786509E-2</c:v>
                </c:pt>
                <c:pt idx="215">
                  <c:v>1.0510646207555431E-2</c:v>
                </c:pt>
                <c:pt idx="216">
                  <c:v>1.0511876802779282E-2</c:v>
                </c:pt>
                <c:pt idx="217">
                  <c:v>1.0513096139139934E-2</c:v>
                </c:pt>
                <c:pt idx="218">
                  <c:v>1.0514304370463199E-2</c:v>
                </c:pt>
                <c:pt idx="219">
                  <c:v>1.0515501647784939E-2</c:v>
                </c:pt>
                <c:pt idx="220">
                  <c:v>1.0516688119415064E-2</c:v>
                </c:pt>
                <c:pt idx="221">
                  <c:v>1.0517863930997278E-2</c:v>
                </c:pt>
                <c:pt idx="222">
                  <c:v>1.0519029225569018E-2</c:v>
                </c:pt>
                <c:pt idx="223">
                  <c:v>1.0520184143619625E-2</c:v>
                </c:pt>
                <c:pt idx="224">
                  <c:v>1.0521328823147037E-2</c:v>
                </c:pt>
                <c:pt idx="225">
                  <c:v>1.0522463399712911E-2</c:v>
                </c:pt>
                <c:pt idx="226">
                  <c:v>1.0523588006495419E-2</c:v>
                </c:pt>
                <c:pt idx="227">
                  <c:v>1.0524702774342583E-2</c:v>
                </c:pt>
                <c:pt idx="228">
                  <c:v>1.0525807831821674E-2</c:v>
                </c:pt>
                <c:pt idx="229">
                  <c:v>1.0526903305270213E-2</c:v>
                </c:pt>
                <c:pt idx="230">
                  <c:v>1.0527989318842315E-2</c:v>
                </c:pt>
                <c:pt idx="231">
                  <c:v>1.05290659945575E-2</c:v>
                </c:pt>
                <c:pt idx="232">
                  <c:v>1.0530133452344916E-2</c:v>
                </c:pt>
                <c:pt idx="233">
                  <c:v>1.0531191810089352E-2</c:v>
                </c:pt>
                <c:pt idx="234">
                  <c:v>1.053224118367288E-2</c:v>
                </c:pt>
                <c:pt idx="235">
                  <c:v>1.0533281687018267E-2</c:v>
                </c:pt>
                <c:pt idx="236">
                  <c:v>1.0534313432131025E-2</c:v>
                </c:pt>
                <c:pt idx="237">
                  <c:v>1.0535336529137684E-2</c:v>
                </c:pt>
                <c:pt idx="238">
                  <c:v>1.0536351086325958E-2</c:v>
                </c:pt>
                <c:pt idx="239">
                  <c:v>1.0537357210183979E-2</c:v>
                </c:pt>
                <c:pt idx="240">
                  <c:v>1.0538355005435594E-2</c:v>
                </c:pt>
                <c:pt idx="241">
                  <c:v>1.0539344575077995E-2</c:v>
                </c:pt>
                <c:pt idx="242">
                  <c:v>1.0540326020416447E-2</c:v>
                </c:pt>
                <c:pt idx="243">
                  <c:v>1.054129944110046E-2</c:v>
                </c:pt>
                <c:pt idx="244">
                  <c:v>1.0542264935154854E-2</c:v>
                </c:pt>
                <c:pt idx="245">
                  <c:v>1.0543222599015689E-2</c:v>
                </c:pt>
                <c:pt idx="246">
                  <c:v>1.0544172527560347E-2</c:v>
                </c:pt>
                <c:pt idx="247">
                  <c:v>1.0545114814138879E-2</c:v>
                </c:pt>
                <c:pt idx="248">
                  <c:v>1.0546049550605773E-2</c:v>
                </c:pt>
                <c:pt idx="249">
                  <c:v>1.0546976827349034E-2</c:v>
                </c:pt>
                <c:pt idx="250">
                  <c:v>1.0547896733318959E-2</c:v>
                </c:pt>
                <c:pt idx="251">
                  <c:v>1.0548809356058071E-2</c:v>
                </c:pt>
                <c:pt idx="252">
                  <c:v>1.054971478172707E-2</c:v>
                </c:pt>
                <c:pt idx="253">
                  <c:v>1.0550613095133754E-2</c:v>
                </c:pt>
                <c:pt idx="254">
                  <c:v>1.0551504379758086E-2</c:v>
                </c:pt>
                <c:pt idx="255">
                  <c:v>1.0552388717778244E-2</c:v>
                </c:pt>
                <c:pt idx="256">
                  <c:v>1.0553266190096836E-2</c:v>
                </c:pt>
                <c:pt idx="257">
                  <c:v>1.0554136876363593E-2</c:v>
                </c:pt>
                <c:pt idx="258">
                  <c:v>1.0555000855002872E-2</c:v>
                </c:pt>
                <c:pt idx="259">
                  <c:v>1.0555858203233948E-2</c:v>
                </c:pt>
                <c:pt idx="260">
                  <c:v>1.0556708997095338E-2</c:v>
                </c:pt>
                <c:pt idx="261">
                  <c:v>1.0557553311466903E-2</c:v>
                </c:pt>
                <c:pt idx="262">
                  <c:v>1.0558391220093236E-2</c:v>
                </c:pt>
                <c:pt idx="263">
                  <c:v>1.0559222795603129E-2</c:v>
                </c:pt>
                <c:pt idx="264">
                  <c:v>1.0560048109531622E-2</c:v>
                </c:pt>
                <c:pt idx="265">
                  <c:v>1.0560867232340029E-2</c:v>
                </c:pt>
                <c:pt idx="266">
                  <c:v>1.0561680233437709E-2</c:v>
                </c:pt>
                <c:pt idx="267">
                  <c:v>1.0562487181198467E-2</c:v>
                </c:pt>
                <c:pt idx="268">
                  <c:v>1.0563288142982553E-2</c:v>
                </c:pt>
                <c:pt idx="269">
                  <c:v>1.0564083185153995E-2</c:v>
                </c:pt>
                <c:pt idx="270">
                  <c:v>1.0564872373100201E-2</c:v>
                </c:pt>
                <c:pt idx="271">
                  <c:v>1.0565655771248912E-2</c:v>
                </c:pt>
                <c:pt idx="272">
                  <c:v>1.056643344308451E-2</c:v>
                </c:pt>
                <c:pt idx="273">
                  <c:v>1.0567205451167084E-2</c:v>
                </c:pt>
                <c:pt idx="274">
                  <c:v>1.0567971857149645E-2</c:v>
                </c:pt>
                <c:pt idx="275">
                  <c:v>1.0568732721792703E-2</c:v>
                </c:pt>
                <c:pt idx="276">
                  <c:v>1.0569488104982445E-2</c:v>
                </c:pt>
                <c:pt idx="277">
                  <c:v>1.057023806574329E-2</c:v>
                </c:pt>
                <c:pt idx="278">
                  <c:v>1.0570982662255691E-2</c:v>
                </c:pt>
                <c:pt idx="279">
                  <c:v>1.0571721951871837E-2</c:v>
                </c:pt>
                <c:pt idx="280">
                  <c:v>1.057245599112892E-2</c:v>
                </c:pt>
                <c:pt idx="281">
                  <c:v>1.0573184835763205E-2</c:v>
                </c:pt>
                <c:pt idx="282">
                  <c:v>1.0573908540724038E-2</c:v>
                </c:pt>
                <c:pt idx="283">
                  <c:v>1.0574627160194966E-2</c:v>
                </c:pt>
                <c:pt idx="284">
                  <c:v>1.0575340747590921E-2</c:v>
                </c:pt>
                <c:pt idx="285">
                  <c:v>1.057604935558345E-2</c:v>
                </c:pt>
                <c:pt idx="286">
                  <c:v>1.057675303611267E-2</c:v>
                </c:pt>
                <c:pt idx="287">
                  <c:v>1.0577451840400189E-2</c:v>
                </c:pt>
                <c:pt idx="288">
                  <c:v>1.0578145818959734E-2</c:v>
                </c:pt>
                <c:pt idx="289">
                  <c:v>1.0578835021609785E-2</c:v>
                </c:pt>
                <c:pt idx="290">
                  <c:v>1.0579519497483694E-2</c:v>
                </c:pt>
                <c:pt idx="291">
                  <c:v>1.058019929504502E-2</c:v>
                </c:pt>
                <c:pt idx="292">
                  <c:v>1.0580874462096898E-2</c:v>
                </c:pt>
                <c:pt idx="293">
                  <c:v>1.0581545045792734E-2</c:v>
                </c:pt>
                <c:pt idx="294">
                  <c:v>1.0582211092648387E-2</c:v>
                </c:pt>
                <c:pt idx="295">
                  <c:v>1.0582872648551615E-2</c:v>
                </c:pt>
                <c:pt idx="296">
                  <c:v>1.0583529758773027E-2</c:v>
                </c:pt>
                <c:pt idx="297">
                  <c:v>1.0584182467977439E-2</c:v>
                </c:pt>
                <c:pt idx="298">
                  <c:v>1.0584830820234373E-2</c:v>
                </c:pt>
                <c:pt idx="299">
                  <c:v>1.0585474859025657E-2</c:v>
                </c:pt>
                <c:pt idx="300">
                  <c:v>1.0586114627256511E-2</c:v>
                </c:pt>
                <c:pt idx="301">
                  <c:v>1.0586750167264611E-2</c:v>
                </c:pt>
                <c:pt idx="302">
                  <c:v>1.0587381520830441E-2</c:v>
                </c:pt>
                <c:pt idx="303">
                  <c:v>1.0588008729185716E-2</c:v>
                </c:pt>
                <c:pt idx="304">
                  <c:v>1.0588631833022104E-2</c:v>
                </c:pt>
                <c:pt idx="305">
                  <c:v>1.0589250872500795E-2</c:v>
                </c:pt>
                <c:pt idx="306">
                  <c:v>1.0589865887260901E-2</c:v>
                </c:pt>
                <c:pt idx="307">
                  <c:v>1.0590476916427064E-2</c:v>
                </c:pt>
                <c:pt idx="308">
                  <c:v>1.0591083998618443E-2</c:v>
                </c:pt>
                <c:pt idx="309">
                  <c:v>1.0591687171957432E-2</c:v>
                </c:pt>
                <c:pt idx="310">
                  <c:v>1.0592286474077341E-2</c:v>
                </c:pt>
                <c:pt idx="311">
                  <c:v>1.0592881942128526E-2</c:v>
                </c:pt>
                <c:pt idx="312">
                  <c:v>1.0593473612788345E-2</c:v>
                </c:pt>
                <c:pt idx="313">
                  <c:v>1.0594061522267401E-2</c:v>
                </c:pt>
                <c:pt idx="314">
                  <c:v>1.0594645706317863E-2</c:v>
                </c:pt>
                <c:pt idx="315">
                  <c:v>1.0595226200241116E-2</c:v>
                </c:pt>
                <c:pt idx="316">
                  <c:v>1.0595803038891325E-2</c:v>
                </c:pt>
                <c:pt idx="317">
                  <c:v>1.0596376256687148E-2</c:v>
                </c:pt>
                <c:pt idx="318">
                  <c:v>1.0596945887615233E-2</c:v>
                </c:pt>
                <c:pt idx="319">
                  <c:v>1.0597511965239375E-2</c:v>
                </c:pt>
                <c:pt idx="320">
                  <c:v>1.0598074522704524E-2</c:v>
                </c:pt>
                <c:pt idx="321">
                  <c:v>1.0598633592746319E-2</c:v>
                </c:pt>
                <c:pt idx="322">
                  <c:v>1.059918920769431E-2</c:v>
                </c:pt>
                <c:pt idx="323">
                  <c:v>1.0599741399480432E-2</c:v>
                </c:pt>
                <c:pt idx="324">
                  <c:v>1.0600290199643892E-2</c:v>
                </c:pt>
                <c:pt idx="325">
                  <c:v>1.0600835639338167E-2</c:v>
                </c:pt>
                <c:pt idx="326">
                  <c:v>1.0601377749335707E-2</c:v>
                </c:pt>
                <c:pt idx="327">
                  <c:v>1.0601916560034683E-2</c:v>
                </c:pt>
                <c:pt idx="328">
                  <c:v>1.0602452101464313E-2</c:v>
                </c:pt>
                <c:pt idx="329">
                  <c:v>1.0602984403290742E-2</c:v>
                </c:pt>
                <c:pt idx="330">
                  <c:v>1.0603513494821526E-2</c:v>
                </c:pt>
                <c:pt idx="331">
                  <c:v>1.0604039405012094E-2</c:v>
                </c:pt>
                <c:pt idx="332">
                  <c:v>1.0604562162471142E-2</c:v>
                </c:pt>
                <c:pt idx="333">
                  <c:v>1.0605081795464421E-2</c:v>
                </c:pt>
                <c:pt idx="334">
                  <c:v>1.0605598331921874E-2</c:v>
                </c:pt>
                <c:pt idx="335">
                  <c:v>1.0606111799440928E-2</c:v>
                </c:pt>
                <c:pt idx="336">
                  <c:v>1.0606622225293037E-2</c:v>
                </c:pt>
                <c:pt idx="337">
                  <c:v>1.0607129636426321E-2</c:v>
                </c:pt>
                <c:pt idx="338">
                  <c:v>1.0607634059471337E-2</c:v>
                </c:pt>
                <c:pt idx="339">
                  <c:v>1.0608135520746147E-2</c:v>
                </c:pt>
                <c:pt idx="340">
                  <c:v>1.0608634046261259E-2</c:v>
                </c:pt>
                <c:pt idx="341">
                  <c:v>1.0609129661722236E-2</c:v>
                </c:pt>
                <c:pt idx="342">
                  <c:v>1.060962239253615E-2</c:v>
                </c:pt>
                <c:pt idx="343">
                  <c:v>1.0610112263816234E-2</c:v>
                </c:pt>
                <c:pt idx="344">
                  <c:v>1.0610599300383723E-2</c:v>
                </c:pt>
                <c:pt idx="345">
                  <c:v>1.061108352677319E-2</c:v>
                </c:pt>
                <c:pt idx="346">
                  <c:v>1.0611564967237544E-2</c:v>
                </c:pt>
                <c:pt idx="347">
                  <c:v>1.0612043645750918E-2</c:v>
                </c:pt>
                <c:pt idx="348">
                  <c:v>1.061251958601378E-2</c:v>
                </c:pt>
                <c:pt idx="349">
                  <c:v>1.0612992811455897E-2</c:v>
                </c:pt>
                <c:pt idx="350">
                  <c:v>1.0613463345240659E-2</c:v>
                </c:pt>
                <c:pt idx="351">
                  <c:v>1.0613931210268372E-2</c:v>
                </c:pt>
                <c:pt idx="352">
                  <c:v>1.061439642918004E-2</c:v>
                </c:pt>
                <c:pt idx="353">
                  <c:v>1.0614859024361972E-2</c:v>
                </c:pt>
                <c:pt idx="354">
                  <c:v>1.0615319017948198E-2</c:v>
                </c:pt>
                <c:pt idx="355">
                  <c:v>1.0615776431824833E-2</c:v>
                </c:pt>
                <c:pt idx="356">
                  <c:v>1.0616231287632699E-2</c:v>
                </c:pt>
                <c:pt idx="357">
                  <c:v>1.0616683606771473E-2</c:v>
                </c:pt>
                <c:pt idx="358">
                  <c:v>1.0617133410402865E-2</c:v>
                </c:pt>
                <c:pt idx="359">
                  <c:v>1.0617580719453961E-2</c:v>
                </c:pt>
                <c:pt idx="360">
                  <c:v>1.0618025554620023E-2</c:v>
                </c:pt>
                <c:pt idx="361">
                  <c:v>1.0618467936368134E-2</c:v>
                </c:pt>
                <c:pt idx="362">
                  <c:v>1.0618907884939898E-2</c:v>
                </c:pt>
                <c:pt idx="363">
                  <c:v>1.0619345420355569E-2</c:v>
                </c:pt>
                <c:pt idx="364">
                  <c:v>1.0619780562415831E-2</c:v>
                </c:pt>
                <c:pt idx="365">
                  <c:v>1.0620213330705579E-2</c:v>
                </c:pt>
                <c:pt idx="366">
                  <c:v>1.0620643744596465E-2</c:v>
                </c:pt>
                <c:pt idx="367">
                  <c:v>1.0621071823250096E-2</c:v>
                </c:pt>
                <c:pt idx="368">
                  <c:v>1.0621497585620355E-2</c:v>
                </c:pt>
                <c:pt idx="369">
                  <c:v>1.0621921050457108E-2</c:v>
                </c:pt>
                <c:pt idx="370">
                  <c:v>1.0622342236307477E-2</c:v>
                </c:pt>
                <c:pt idx="371">
                  <c:v>1.0622761161520611E-2</c:v>
                </c:pt>
                <c:pt idx="372">
                  <c:v>1.0623177844248323E-2</c:v>
                </c:pt>
                <c:pt idx="373">
                  <c:v>1.062359230244923E-2</c:v>
                </c:pt>
                <c:pt idx="374">
                  <c:v>1.0624004553889869E-2</c:v>
                </c:pt>
                <c:pt idx="375">
                  <c:v>1.0624414616148962E-2</c:v>
                </c:pt>
                <c:pt idx="376">
                  <c:v>1.0624822506618654E-2</c:v>
                </c:pt>
                <c:pt idx="377">
                  <c:v>1.0625228242507639E-2</c:v>
                </c:pt>
                <c:pt idx="378">
                  <c:v>1.062563184084238E-2</c:v>
                </c:pt>
                <c:pt idx="379">
                  <c:v>1.06260333184713E-2</c:v>
                </c:pt>
                <c:pt idx="380">
                  <c:v>1.0626432692065649E-2</c:v>
                </c:pt>
                <c:pt idx="381">
                  <c:v>1.0626829978122943E-2</c:v>
                </c:pt>
                <c:pt idx="382">
                  <c:v>1.0627225192968024E-2</c:v>
                </c:pt>
                <c:pt idx="383">
                  <c:v>1.062761835275647E-2</c:v>
                </c:pt>
                <c:pt idx="384">
                  <c:v>1.0628009473476432E-2</c:v>
                </c:pt>
                <c:pt idx="385">
                  <c:v>1.0628398570950572E-2</c:v>
                </c:pt>
                <c:pt idx="386">
                  <c:v>1.0628785660836752E-2</c:v>
                </c:pt>
                <c:pt idx="387">
                  <c:v>1.0629170758633648E-2</c:v>
                </c:pt>
                <c:pt idx="388">
                  <c:v>1.0629553879680441E-2</c:v>
                </c:pt>
                <c:pt idx="389">
                  <c:v>1.062993503915869E-2</c:v>
                </c:pt>
                <c:pt idx="390">
                  <c:v>1.0630314252094642E-2</c:v>
                </c:pt>
                <c:pt idx="391">
                  <c:v>1.0630691533361783E-2</c:v>
                </c:pt>
                <c:pt idx="392">
                  <c:v>1.0631066897683311E-2</c:v>
                </c:pt>
                <c:pt idx="393">
                  <c:v>1.0631440359632037E-2</c:v>
                </c:pt>
                <c:pt idx="394">
                  <c:v>1.0631811933633594E-2</c:v>
                </c:pt>
                <c:pt idx="395">
                  <c:v>1.0632181633968526E-2</c:v>
                </c:pt>
                <c:pt idx="396">
                  <c:v>1.063254947477313E-2</c:v>
                </c:pt>
                <c:pt idx="397">
                  <c:v>1.06329154700428E-2</c:v>
                </c:pt>
                <c:pt idx="398">
                  <c:v>1.0633279633632415E-2</c:v>
                </c:pt>
                <c:pt idx="399">
                  <c:v>1.0633641979257888E-2</c:v>
                </c:pt>
                <c:pt idx="400">
                  <c:v>1.063400252049884E-2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FBD-4639-BBAB-B7E8190679C1}"/>
            </c:ext>
          </c:extLst>
        </c:ser>
        <c:ser>
          <c:idx val="3"/>
          <c:order val="3"/>
          <c:tx>
            <c:strRef>
              <c:f>Visualization!$E$17</c:f>
              <c:strCache>
                <c:ptCount val="1"/>
                <c:pt idx="0">
                  <c:v>P (g/L)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Visualization!$A$18:$A$418</c:f>
              <c:numCache>
                <c:formatCode>0.000</c:formatCode>
                <c:ptCount val="4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</c:numCache>
            </c:numRef>
          </c:xVal>
          <c:yVal>
            <c:numRef>
              <c:f>Visualization!$E$18:$E$418</c:f>
              <c:numCache>
                <c:formatCode>0.000</c:formatCode>
                <c:ptCount val="401"/>
                <c:pt idx="0">
                  <c:v>0</c:v>
                </c:pt>
                <c:pt idx="1">
                  <c:v>2.0004651527193055E-2</c:v>
                </c:pt>
                <c:pt idx="2">
                  <c:v>2.486761453941385E-2</c:v>
                </c:pt>
                <c:pt idx="3">
                  <c:v>2.9286269177509934E-2</c:v>
                </c:pt>
                <c:pt idx="4">
                  <c:v>3.4086943880826163E-2</c:v>
                </c:pt>
                <c:pt idx="5">
                  <c:v>3.9587230427063316E-2</c:v>
                </c:pt>
                <c:pt idx="6">
                  <c:v>4.6020513939810506E-2</c:v>
                </c:pt>
                <c:pt idx="7">
                  <c:v>5.3622363147976151E-2</c:v>
                </c:pt>
                <c:pt idx="8">
                  <c:v>6.2660220106279821E-2</c:v>
                </c:pt>
                <c:pt idx="9">
                  <c:v>7.345112002231334E-2</c:v>
                </c:pt>
                <c:pt idx="10">
                  <c:v>8.6377448468107701E-2</c:v>
                </c:pt>
                <c:pt idx="11">
                  <c:v>0.10190402792178284</c:v>
                </c:pt>
                <c:pt idx="12">
                  <c:v>0.12059817355180709</c:v>
                </c:pt>
                <c:pt idx="13">
                  <c:v>0.14315395857375224</c:v>
                </c:pt>
                <c:pt idx="14">
                  <c:v>0.17042193129818159</c:v>
                </c:pt>
                <c:pt idx="15">
                  <c:v>0.20344570201291806</c:v>
                </c:pt>
                <c:pt idx="16">
                  <c:v>0.24350710454034766</c:v>
                </c:pt>
                <c:pt idx="17">
                  <c:v>0.29165190640388972</c:v>
                </c:pt>
                <c:pt idx="18">
                  <c:v>0.35011976738703821</c:v>
                </c:pt>
                <c:pt idx="19">
                  <c:v>0.421220712313157</c:v>
                </c:pt>
                <c:pt idx="20">
                  <c:v>0.50779542152160839</c:v>
                </c:pt>
                <c:pt idx="21">
                  <c:v>0.61333950597219467</c:v>
                </c:pt>
                <c:pt idx="22">
                  <c:v>0.74215728739580622</c:v>
                </c:pt>
                <c:pt idx="23">
                  <c:v>0.89955216818166972</c:v>
                </c:pt>
                <c:pt idx="24">
                  <c:v>1.0920623900570943</c:v>
                </c:pt>
                <c:pt idx="25">
                  <c:v>1.3277531126281792</c:v>
                </c:pt>
                <c:pt idx="26">
                  <c:v>1.6165783944228149</c:v>
                </c:pt>
                <c:pt idx="27">
                  <c:v>1.9708299569716174</c:v>
                </c:pt>
                <c:pt idx="28">
                  <c:v>2.4056937142333505</c:v>
                </c:pt>
                <c:pt idx="29">
                  <c:v>2.9399401509713927</c:v>
                </c:pt>
                <c:pt idx="30">
                  <c:v>3.596780977177676</c:v>
                </c:pt>
                <c:pt idx="31">
                  <c:v>4.404932371754704</c:v>
                </c:pt>
                <c:pt idx="32">
                  <c:v>5.3999349284236313</c:v>
                </c:pt>
                <c:pt idx="33">
                  <c:v>6.6393914178173921</c:v>
                </c:pt>
                <c:pt idx="34">
                  <c:v>8.1705817948771955</c:v>
                </c:pt>
                <c:pt idx="35">
                  <c:v>10.063313532893869</c:v>
                </c:pt>
                <c:pt idx="36">
                  <c:v>12.404291767239615</c:v>
                </c:pt>
                <c:pt idx="37">
                  <c:v>15.301239933637037</c:v>
                </c:pt>
                <c:pt idx="38">
                  <c:v>18.8880268670543</c:v>
                </c:pt>
                <c:pt idx="39">
                  <c:v>23.331043065990247</c:v>
                </c:pt>
                <c:pt idx="40">
                  <c:v>28.837123375600402</c:v>
                </c:pt>
                <c:pt idx="41">
                  <c:v>35.663375094852057</c:v>
                </c:pt>
                <c:pt idx="42">
                  <c:v>44.129331767945793</c:v>
                </c:pt>
                <c:pt idx="43">
                  <c:v>54.631883948571499</c:v>
                </c:pt>
                <c:pt idx="44">
                  <c:v>67.663317706713087</c:v>
                </c:pt>
                <c:pt idx="45">
                  <c:v>83.83187922422394</c:v>
                </c:pt>
                <c:pt idx="46">
                  <c:v>103.87641529924807</c:v>
                </c:pt>
                <c:pt idx="47">
                  <c:v>126.28782615200493</c:v>
                </c:pt>
                <c:pt idx="48">
                  <c:v>144.10402545428528</c:v>
                </c:pt>
                <c:pt idx="49">
                  <c:v>158.84962900666216</c:v>
                </c:pt>
                <c:pt idx="50">
                  <c:v>171.07075561904762</c:v>
                </c:pt>
                <c:pt idx="51">
                  <c:v>181.21479148509852</c:v>
                </c:pt>
                <c:pt idx="52">
                  <c:v>189.6485168493021</c:v>
                </c:pt>
                <c:pt idx="53">
                  <c:v>196.67284903892673</c:v>
                </c:pt>
                <c:pt idx="54">
                  <c:v>202.53484603870825</c:v>
                </c:pt>
                <c:pt idx="55">
                  <c:v>207.43748901878152</c:v>
                </c:pt>
                <c:pt idx="56">
                  <c:v>211.547661774549</c:v>
                </c:pt>
                <c:pt idx="57">
                  <c:v>215.00266463406197</c:v>
                </c:pt>
                <c:pt idx="58">
                  <c:v>217.91553591091341</c:v>
                </c:pt>
                <c:pt idx="59">
                  <c:v>220.37940218164158</c:v>
                </c:pt>
                <c:pt idx="60">
                  <c:v>222.47103697436586</c:v>
                </c:pt>
                <c:pt idx="61">
                  <c:v>224.25377382509907</c:v>
                </c:pt>
                <c:pt idx="62">
                  <c:v>225.7798924636129</c:v>
                </c:pt>
                <c:pt idx="63">
                  <c:v>227.09257484249497</c:v>
                </c:pt>
                <c:pt idx="64">
                  <c:v>228.22750980381053</c:v>
                </c:pt>
                <c:pt idx="65">
                  <c:v>229.20508472227979</c:v>
                </c:pt>
                <c:pt idx="66">
                  <c:v>230.06107661592284</c:v>
                </c:pt>
                <c:pt idx="67">
                  <c:v>230.8151619749172</c:v>
                </c:pt>
                <c:pt idx="68">
                  <c:v>231.48367088476854</c:v>
                </c:pt>
                <c:pt idx="69">
                  <c:v>232.08016418573794</c:v>
                </c:pt>
                <c:pt idx="70">
                  <c:v>232.61591015540344</c:v>
                </c:pt>
                <c:pt idx="71">
                  <c:v>233.10027843992646</c:v>
                </c:pt>
                <c:pt idx="72">
                  <c:v>233.5410657628847</c:v>
                </c:pt>
                <c:pt idx="73">
                  <c:v>233.94476533842888</c:v>
                </c:pt>
                <c:pt idx="74">
                  <c:v>234.31678979442552</c:v>
                </c:pt>
                <c:pt idx="75">
                  <c:v>234.66165567894197</c:v>
                </c:pt>
                <c:pt idx="76">
                  <c:v>234.9831362056035</c:v>
                </c:pt>
                <c:pt idx="77">
                  <c:v>235.28438773034358</c:v>
                </c:pt>
                <c:pt idx="78">
                  <c:v>235.56805449612531</c:v>
                </c:pt>
                <c:pt idx="79">
                  <c:v>235.83635539505053</c:v>
                </c:pt>
                <c:pt idx="80">
                  <c:v>236.09115584813514</c:v>
                </c:pt>
                <c:pt idx="81">
                  <c:v>236.3340273670897</c:v>
                </c:pt>
                <c:pt idx="82">
                  <c:v>236.56629691960225</c:v>
                </c:pt>
                <c:pt idx="83">
                  <c:v>236.78908785346897</c:v>
                </c:pt>
                <c:pt idx="84">
                  <c:v>237.00335383207863</c:v>
                </c:pt>
                <c:pt idx="85">
                  <c:v>237.20990698320963</c:v>
                </c:pt>
                <c:pt idx="86">
                  <c:v>237.4094412558087</c:v>
                </c:pt>
                <c:pt idx="87">
                  <c:v>237.60255180789173</c:v>
                </c:pt>
                <c:pt idx="88">
                  <c:v>237.78975110679468</c:v>
                </c:pt>
                <c:pt idx="89">
                  <c:v>237.97148230557295</c:v>
                </c:pt>
                <c:pt idx="90">
                  <c:v>238.14813036220104</c:v>
                </c:pt>
                <c:pt idx="91">
                  <c:v>238.32003128784092</c:v>
                </c:pt>
                <c:pt idx="92">
                  <c:v>238.48747984394936</c:v>
                </c:pt>
                <c:pt idx="93">
                  <c:v>238.6507359529771</c:v>
                </c:pt>
                <c:pt idx="94">
                  <c:v>238.81003004189</c:v>
                </c:pt>
                <c:pt idx="95">
                  <c:v>238.96556750007838</c:v>
                </c:pt>
                <c:pt idx="96">
                  <c:v>239.11753240205383</c:v>
                </c:pt>
                <c:pt idx="97">
                  <c:v>239.26609061954437</c:v>
                </c:pt>
                <c:pt idx="98">
                  <c:v>239.41139242624914</c:v>
                </c:pt>
                <c:pt idx="99">
                  <c:v>239.55357468084668</c:v>
                </c:pt>
                <c:pt idx="100">
                  <c:v>239.6927626592217</c:v>
                </c:pt>
                <c:pt idx="101">
                  <c:v>239.82907159476559</c:v>
                </c:pt>
                <c:pt idx="102">
                  <c:v>239.96260797557491</c:v>
                </c:pt>
                <c:pt idx="103">
                  <c:v>240.09347063906256</c:v>
                </c:pt>
                <c:pt idx="104">
                  <c:v>240.22175169761411</c:v>
                </c:pt>
                <c:pt idx="105">
                  <c:v>240.34753732322088</c:v>
                </c:pt>
                <c:pt idx="106">
                  <c:v>240.47090841428957</c:v>
                </c:pt>
                <c:pt idx="107">
                  <c:v>240.59194116391339</c:v>
                </c:pt>
                <c:pt idx="108">
                  <c:v>240.7107075456361</c:v>
                </c:pt>
                <c:pt idx="109">
                  <c:v>240.82727573005076</c:v>
                </c:pt>
                <c:pt idx="110">
                  <c:v>240.94171044333009</c:v>
                </c:pt>
                <c:pt idx="111">
                  <c:v>241.05407327693766</c:v>
                </c:pt>
                <c:pt idx="112">
                  <c:v>241.16442295622372</c:v>
                </c:pt>
                <c:pt idx="113">
                  <c:v>241.27281557433034</c:v>
                </c:pt>
                <c:pt idx="114">
                  <c:v>241.37930479676984</c:v>
                </c:pt>
                <c:pt idx="115">
                  <c:v>241.48394204115368</c:v>
                </c:pt>
                <c:pt idx="116">
                  <c:v>241.58677663581759</c:v>
                </c:pt>
                <c:pt idx="117">
                  <c:v>241.68785596047675</c:v>
                </c:pt>
                <c:pt idx="118">
                  <c:v>241.78722557153611</c:v>
                </c:pt>
                <c:pt idx="119">
                  <c:v>241.88492931425759</c:v>
                </c:pt>
                <c:pt idx="120">
                  <c:v>241.98100942363624</c:v>
                </c:pt>
                <c:pt idx="121">
                  <c:v>242.07550661553879</c:v>
                </c:pt>
                <c:pt idx="122">
                  <c:v>242.16846016941653</c:v>
                </c:pt>
                <c:pt idx="123">
                  <c:v>242.25990800370084</c:v>
                </c:pt>
                <c:pt idx="124">
                  <c:v>242.34988674481411</c:v>
                </c:pt>
                <c:pt idx="125">
                  <c:v>242.43843179059181</c:v>
                </c:pt>
                <c:pt idx="126">
                  <c:v>242.52557736878711</c:v>
                </c:pt>
                <c:pt idx="127">
                  <c:v>242.61135659123306</c:v>
                </c:pt>
                <c:pt idx="128">
                  <c:v>242.69580150415123</c:v>
                </c:pt>
                <c:pt idx="129">
                  <c:v>242.7797680722384</c:v>
                </c:pt>
                <c:pt idx="130">
                  <c:v>242.86243611900929</c:v>
                </c:pt>
                <c:pt idx="131">
                  <c:v>242.94383563140943</c:v>
                </c:pt>
                <c:pt idx="132">
                  <c:v>243.0239956654375</c:v>
                </c:pt>
                <c:pt idx="133">
                  <c:v>243.10294438421715</c:v>
                </c:pt>
                <c:pt idx="134">
                  <c:v>243.18070909388626</c:v>
                </c:pt>
                <c:pt idx="135">
                  <c:v>243.25731627749536</c:v>
                </c:pt>
                <c:pt idx="136">
                  <c:v>243.33279162707751</c:v>
                </c:pt>
                <c:pt idx="137">
                  <c:v>243.40716007403788</c:v>
                </c:pt>
                <c:pt idx="138">
                  <c:v>243.48044581799269</c:v>
                </c:pt>
                <c:pt idx="139">
                  <c:v>243.55267235416972</c:v>
                </c:pt>
                <c:pt idx="140">
                  <c:v>243.62386249947542</c:v>
                </c:pt>
                <c:pt idx="141">
                  <c:v>243.6940384173177</c:v>
                </c:pt>
                <c:pt idx="142">
                  <c:v>243.76322164126807</c:v>
                </c:pt>
                <c:pt idx="143">
                  <c:v>243.83143309763804</c:v>
                </c:pt>
                <c:pt idx="144">
                  <c:v>243.89869312703541</c:v>
                </c:pt>
                <c:pt idx="145">
                  <c:v>243.9650215049648</c:v>
                </c:pt>
                <c:pt idx="146">
                  <c:v>244.03043746152423</c:v>
                </c:pt>
                <c:pt idx="147">
                  <c:v>244.09495970025387</c:v>
                </c:pt>
                <c:pt idx="148">
                  <c:v>244.15860641618025</c:v>
                </c:pt>
                <c:pt idx="149">
                  <c:v>244.22139531310273</c:v>
                </c:pt>
                <c:pt idx="150">
                  <c:v>244.28334362016</c:v>
                </c:pt>
                <c:pt idx="151">
                  <c:v>244.34446810771593</c:v>
                </c:pt>
                <c:pt idx="152">
                  <c:v>244.40478510259808</c:v>
                </c:pt>
                <c:pt idx="153">
                  <c:v>244.46431050272292</c:v>
                </c:pt>
                <c:pt idx="154">
                  <c:v>244.5230597911364</c:v>
                </c:pt>
                <c:pt idx="155">
                  <c:v>244.58104804950025</c:v>
                </c:pt>
                <c:pt idx="156">
                  <c:v>244.63828997104775</c:v>
                </c:pt>
                <c:pt idx="157">
                  <c:v>244.69479987303725</c:v>
                </c:pt>
                <c:pt idx="158">
                  <c:v>244.75059170872433</c:v>
                </c:pt>
                <c:pt idx="159">
                  <c:v>244.80567907887658</c:v>
                </c:pt>
                <c:pt idx="160">
                  <c:v>244.86007524285006</c:v>
                </c:pt>
                <c:pt idx="161">
                  <c:v>244.91379312924903</c:v>
                </c:pt>
                <c:pt idx="162">
                  <c:v>244.9668453461864</c:v>
                </c:pt>
                <c:pt idx="163">
                  <c:v>245.01924419116244</c:v>
                </c:pt>
                <c:pt idx="164">
                  <c:v>245.07100166057981</c:v>
                </c:pt>
                <c:pt idx="165">
                  <c:v>245.12212945890886</c:v>
                </c:pt>
                <c:pt idx="166">
                  <c:v>245.17263900751959</c:v>
                </c:pt>
                <c:pt idx="167">
                  <c:v>245.22254145319405</c:v>
                </c:pt>
                <c:pt idx="168">
                  <c:v>245.2718476763325</c:v>
                </c:pt>
                <c:pt idx="169">
                  <c:v>245.32056829886704</c:v>
                </c:pt>
                <c:pt idx="170">
                  <c:v>245.36871369189325</c:v>
                </c:pt>
                <c:pt idx="171">
                  <c:v>245.41629398303394</c:v>
                </c:pt>
                <c:pt idx="172">
                  <c:v>245.46331906354351</c:v>
                </c:pt>
                <c:pt idx="173">
                  <c:v>245.50979859516517</c:v>
                </c:pt>
                <c:pt idx="174">
                  <c:v>245.55574201675111</c:v>
                </c:pt>
                <c:pt idx="175">
                  <c:v>245.60115855065368</c:v>
                </c:pt>
                <c:pt idx="176">
                  <c:v>245.64605720889818</c:v>
                </c:pt>
                <c:pt idx="177">
                  <c:v>245.69044679914578</c:v>
                </c:pt>
                <c:pt idx="178">
                  <c:v>245.73433593045434</c:v>
                </c:pt>
                <c:pt idx="179">
                  <c:v>245.77773301884537</c:v>
                </c:pt>
                <c:pt idx="180">
                  <c:v>245.82064629268456</c:v>
                </c:pt>
                <c:pt idx="181">
                  <c:v>245.86308379788358</c:v>
                </c:pt>
                <c:pt idx="182">
                  <c:v>245.90505340292952</c:v>
                </c:pt>
                <c:pt idx="183">
                  <c:v>245.9465628037494</c:v>
                </c:pt>
                <c:pt idx="184">
                  <c:v>245.98761952841443</c:v>
                </c:pt>
                <c:pt idx="185">
                  <c:v>246.02823094169148</c:v>
                </c:pt>
                <c:pt idx="186">
                  <c:v>246.06840424944841</c:v>
                </c:pt>
                <c:pt idx="187">
                  <c:v>246.10814650291562</c:v>
                </c:pt>
                <c:pt idx="188">
                  <c:v>246.1474646028131</c:v>
                </c:pt>
                <c:pt idx="189">
                  <c:v>246.18636530334445</c:v>
                </c:pt>
                <c:pt idx="190">
                  <c:v>246.22485521606518</c:v>
                </c:pt>
                <c:pt idx="191">
                  <c:v>246.26294081362846</c:v>
                </c:pt>
                <c:pt idx="192">
                  <c:v>246.30062843341449</c:v>
                </c:pt>
                <c:pt idx="193">
                  <c:v>246.33792428104567</c:v>
                </c:pt>
                <c:pt idx="194">
                  <c:v>246.3748344337933</c:v>
                </c:pt>
                <c:pt idx="195">
                  <c:v>246.41136484387854</c:v>
                </c:pt>
                <c:pt idx="196">
                  <c:v>246.44752134167283</c:v>
                </c:pt>
                <c:pt idx="197">
                  <c:v>246.4833096387998</c:v>
                </c:pt>
                <c:pt idx="198">
                  <c:v>246.51873533114286</c:v>
                </c:pt>
                <c:pt idx="199">
                  <c:v>246.55380390176262</c:v>
                </c:pt>
                <c:pt idx="200">
                  <c:v>246.58852072372625</c:v>
                </c:pt>
                <c:pt idx="201">
                  <c:v>246.62289106285095</c:v>
                </c:pt>
                <c:pt idx="202">
                  <c:v>246.65692008036763</c:v>
                </c:pt>
                <c:pt idx="203">
                  <c:v>246.69061283550394</c:v>
                </c:pt>
                <c:pt idx="204">
                  <c:v>246.72397428799232</c:v>
                </c:pt>
                <c:pt idx="205">
                  <c:v>246.75700930050311</c:v>
                </c:pt>
                <c:pt idx="206">
                  <c:v>246.78972264100841</c:v>
                </c:pt>
                <c:pt idx="207">
                  <c:v>246.82211898507572</c:v>
                </c:pt>
                <c:pt idx="208">
                  <c:v>246.85420291809493</c:v>
                </c:pt>
                <c:pt idx="209">
                  <c:v>246.88597893744341</c:v>
                </c:pt>
                <c:pt idx="210">
                  <c:v>246.91745145458646</c:v>
                </c:pt>
                <c:pt idx="211">
                  <c:v>246.94862479711932</c:v>
                </c:pt>
                <c:pt idx="212">
                  <c:v>246.97950321075101</c:v>
                </c:pt>
                <c:pt idx="213">
                  <c:v>247.01009086123221</c:v>
                </c:pt>
                <c:pt idx="214">
                  <c:v>247.04039183622825</c:v>
                </c:pt>
                <c:pt idx="215">
                  <c:v>247.07041014713994</c:v>
                </c:pt>
                <c:pt idx="216">
                  <c:v>247.10014973087485</c:v>
                </c:pt>
                <c:pt idx="217">
                  <c:v>247.12961445156867</c:v>
                </c:pt>
                <c:pt idx="218">
                  <c:v>247.15880810225735</c:v>
                </c:pt>
                <c:pt idx="219">
                  <c:v>247.18773440650597</c:v>
                </c:pt>
                <c:pt idx="220">
                  <c:v>247.21639701999226</c:v>
                </c:pt>
                <c:pt idx="221">
                  <c:v>247.24479953204604</c:v>
                </c:pt>
                <c:pt idx="222">
                  <c:v>247.27294546714816</c:v>
                </c:pt>
                <c:pt idx="223">
                  <c:v>247.30083828638817</c:v>
                </c:pt>
                <c:pt idx="224">
                  <c:v>247.32848138888272</c:v>
                </c:pt>
                <c:pt idx="225">
                  <c:v>247.35587811315744</c:v>
                </c:pt>
                <c:pt idx="226">
                  <c:v>247.38303173849039</c:v>
                </c:pt>
                <c:pt idx="227">
                  <c:v>247.40994548622052</c:v>
                </c:pt>
                <c:pt idx="228">
                  <c:v>247.43662252102212</c:v>
                </c:pt>
                <c:pt idx="229">
                  <c:v>247.46306595214446</c:v>
                </c:pt>
                <c:pt idx="230">
                  <c:v>247.48927883462105</c:v>
                </c:pt>
                <c:pt idx="231">
                  <c:v>247.51526417044519</c:v>
                </c:pt>
                <c:pt idx="232">
                  <c:v>247.54102490971638</c:v>
                </c:pt>
                <c:pt idx="233">
                  <c:v>247.56656395175708</c:v>
                </c:pt>
                <c:pt idx="234">
                  <c:v>247.59188414620021</c:v>
                </c:pt>
                <c:pt idx="235">
                  <c:v>247.61698829404926</c:v>
                </c:pt>
                <c:pt idx="236">
                  <c:v>247.64187914871107</c:v>
                </c:pt>
                <c:pt idx="237">
                  <c:v>247.66655941700282</c:v>
                </c:pt>
                <c:pt idx="238">
                  <c:v>247.69103176013297</c:v>
                </c:pt>
                <c:pt idx="239">
                  <c:v>247.71529879465785</c:v>
                </c:pt>
                <c:pt idx="240">
                  <c:v>247.73936309341454</c:v>
                </c:pt>
                <c:pt idx="241">
                  <c:v>247.76322718643021</c:v>
                </c:pt>
                <c:pt idx="242">
                  <c:v>247.78689356180828</c:v>
                </c:pt>
                <c:pt idx="243">
                  <c:v>247.81036466659407</c:v>
                </c:pt>
                <c:pt idx="244">
                  <c:v>247.8336429076173</c:v>
                </c:pt>
                <c:pt idx="245">
                  <c:v>247.85673065231558</c:v>
                </c:pt>
                <c:pt idx="246">
                  <c:v>247.87963022953656</c:v>
                </c:pt>
                <c:pt idx="247">
                  <c:v>247.90234393032156</c:v>
                </c:pt>
                <c:pt idx="248">
                  <c:v>247.92487400866906</c:v>
                </c:pt>
                <c:pt idx="249">
                  <c:v>247.9472226822808</c:v>
                </c:pt>
                <c:pt idx="250">
                  <c:v>247.96939213328898</c:v>
                </c:pt>
                <c:pt idx="251">
                  <c:v>247.99138450896709</c:v>
                </c:pt>
                <c:pt idx="252">
                  <c:v>248.01320192242292</c:v>
                </c:pt>
                <c:pt idx="253">
                  <c:v>248.03484645327529</c:v>
                </c:pt>
                <c:pt idx="254">
                  <c:v>248.05632014831525</c:v>
                </c:pt>
                <c:pt idx="255">
                  <c:v>248.0776250221507</c:v>
                </c:pt>
                <c:pt idx="256">
                  <c:v>248.09876305783686</c:v>
                </c:pt>
                <c:pt idx="257">
                  <c:v>248.11973620749183</c:v>
                </c:pt>
                <c:pt idx="258">
                  <c:v>248.14054639289697</c:v>
                </c:pt>
                <c:pt idx="259">
                  <c:v>248.16119550608411</c:v>
                </c:pt>
                <c:pt idx="260">
                  <c:v>248.18168540990911</c:v>
                </c:pt>
                <c:pt idx="261">
                  <c:v>248.20201793861216</c:v>
                </c:pt>
                <c:pt idx="262">
                  <c:v>248.22219489836499</c:v>
                </c:pt>
                <c:pt idx="263">
                  <c:v>248.24221806780577</c:v>
                </c:pt>
                <c:pt idx="264">
                  <c:v>248.26208919856177</c:v>
                </c:pt>
                <c:pt idx="265">
                  <c:v>248.28181001575979</c:v>
                </c:pt>
                <c:pt idx="266">
                  <c:v>248.30138221852641</c:v>
                </c:pt>
                <c:pt idx="267">
                  <c:v>248.32080748047488</c:v>
                </c:pt>
                <c:pt idx="268">
                  <c:v>248.34008745018303</c:v>
                </c:pt>
                <c:pt idx="269">
                  <c:v>248.35922375165885</c:v>
                </c:pt>
                <c:pt idx="270">
                  <c:v>248.37821798479746</c:v>
                </c:pt>
                <c:pt idx="271">
                  <c:v>248.39707172582621</c:v>
                </c:pt>
                <c:pt idx="272">
                  <c:v>248.41578652774115</c:v>
                </c:pt>
                <c:pt idx="273">
                  <c:v>248.43436392073326</c:v>
                </c:pt>
                <c:pt idx="274">
                  <c:v>248.45280541260561</c:v>
                </c:pt>
                <c:pt idx="275">
                  <c:v>248.47111248918117</c:v>
                </c:pt>
                <c:pt idx="276">
                  <c:v>248.48928661470211</c:v>
                </c:pt>
                <c:pt idx="277">
                  <c:v>248.50732923221986</c:v>
                </c:pt>
                <c:pt idx="278">
                  <c:v>248.52524176397753</c:v>
                </c:pt>
                <c:pt idx="279">
                  <c:v>248.54302561178309</c:v>
                </c:pt>
                <c:pt idx="280">
                  <c:v>248.56068215737605</c:v>
                </c:pt>
                <c:pt idx="281">
                  <c:v>248.57821276278355</c:v>
                </c:pt>
                <c:pt idx="282">
                  <c:v>248.59561877067262</c:v>
                </c:pt>
                <c:pt idx="283">
                  <c:v>248.61290150469148</c:v>
                </c:pt>
                <c:pt idx="284">
                  <c:v>248.6300622698061</c:v>
                </c:pt>
                <c:pt idx="285">
                  <c:v>248.64710235262763</c:v>
                </c:pt>
                <c:pt idx="286">
                  <c:v>248.66402302173503</c:v>
                </c:pt>
                <c:pt idx="287">
                  <c:v>248.68082552798933</c:v>
                </c:pt>
                <c:pt idx="288">
                  <c:v>248.69751110484185</c:v>
                </c:pt>
                <c:pt idx="289">
                  <c:v>248.71408096863607</c:v>
                </c:pt>
                <c:pt idx="290">
                  <c:v>248.73053631890343</c:v>
                </c:pt>
                <c:pt idx="291">
                  <c:v>248.74687833865258</c:v>
                </c:pt>
                <c:pt idx="292">
                  <c:v>248.76310819465303</c:v>
                </c:pt>
                <c:pt idx="293">
                  <c:v>248.7792270377127</c:v>
                </c:pt>
                <c:pt idx="294">
                  <c:v>248.79523600295008</c:v>
                </c:pt>
                <c:pt idx="295">
                  <c:v>248.81113621006043</c:v>
                </c:pt>
                <c:pt idx="296">
                  <c:v>248.82692876357726</c:v>
                </c:pt>
                <c:pt idx="297">
                  <c:v>248.84261475312789</c:v>
                </c:pt>
                <c:pt idx="298">
                  <c:v>248.85819525368359</c:v>
                </c:pt>
                <c:pt idx="299">
                  <c:v>248.87367132580613</c:v>
                </c:pt>
                <c:pt idx="300">
                  <c:v>248.88904401588778</c:v>
                </c:pt>
                <c:pt idx="301">
                  <c:v>248.90431435638737</c:v>
                </c:pt>
                <c:pt idx="302">
                  <c:v>248.91948336606075</c:v>
                </c:pt>
                <c:pt idx="303">
                  <c:v>248.93455205018859</c:v>
                </c:pt>
                <c:pt idx="304">
                  <c:v>248.94952140079806</c:v>
                </c:pt>
                <c:pt idx="305">
                  <c:v>248.96439239687953</c:v>
                </c:pt>
                <c:pt idx="306">
                  <c:v>248.97916600460155</c:v>
                </c:pt>
                <c:pt idx="307">
                  <c:v>248.99384317751858</c:v>
                </c:pt>
                <c:pt idx="308">
                  <c:v>249.00842485677731</c:v>
                </c:pt>
                <c:pt idx="309">
                  <c:v>249.02291197131757</c:v>
                </c:pt>
                <c:pt idx="310">
                  <c:v>249.03730543806915</c:v>
                </c:pt>
                <c:pt idx="311">
                  <c:v>249.05160616214584</c:v>
                </c:pt>
                <c:pt idx="312">
                  <c:v>249.06581503703438</c:v>
                </c:pt>
                <c:pt idx="313">
                  <c:v>249.07993294478172</c:v>
                </c:pt>
                <c:pt idx="314">
                  <c:v>249.09396075617636</c:v>
                </c:pt>
                <c:pt idx="315">
                  <c:v>249.10789933092843</c:v>
                </c:pt>
                <c:pt idx="316">
                  <c:v>249.12174951784422</c:v>
                </c:pt>
                <c:pt idx="317">
                  <c:v>249.13551215499956</c:v>
                </c:pt>
                <c:pt idx="318">
                  <c:v>249.14918806990786</c:v>
                </c:pt>
                <c:pt idx="319">
                  <c:v>249.16277807968692</c:v>
                </c:pt>
                <c:pt idx="320">
                  <c:v>249.17628299122117</c:v>
                </c:pt>
                <c:pt idx="321">
                  <c:v>249.18970360132133</c:v>
                </c:pt>
                <c:pt idx="322">
                  <c:v>249.20304069688115</c:v>
                </c:pt>
                <c:pt idx="323">
                  <c:v>249.21629505503159</c:v>
                </c:pt>
                <c:pt idx="324">
                  <c:v>249.22946744329124</c:v>
                </c:pt>
                <c:pt idx="325">
                  <c:v>249.24255861971471</c:v>
                </c:pt>
                <c:pt idx="326">
                  <c:v>249.25556933303812</c:v>
                </c:pt>
                <c:pt idx="327">
                  <c:v>249.26850032282192</c:v>
                </c:pt>
                <c:pt idx="328">
                  <c:v>249.28135231959035</c:v>
                </c:pt>
                <c:pt idx="329">
                  <c:v>249.2941260449702</c:v>
                </c:pt>
                <c:pt idx="330">
                  <c:v>249.30682221182514</c:v>
                </c:pt>
                <c:pt idx="331">
                  <c:v>249.31944152438777</c:v>
                </c:pt>
                <c:pt idx="332">
                  <c:v>249.33198467839117</c:v>
                </c:pt>
                <c:pt idx="333">
                  <c:v>249.34445236119586</c:v>
                </c:pt>
                <c:pt idx="334">
                  <c:v>249.3568452519157</c:v>
                </c:pt>
                <c:pt idx="335">
                  <c:v>249.36916402154071</c:v>
                </c:pt>
                <c:pt idx="336">
                  <c:v>249.38140933305883</c:v>
                </c:pt>
                <c:pt idx="337">
                  <c:v>249.3935818415743</c:v>
                </c:pt>
                <c:pt idx="338">
                  <c:v>249.40568219442517</c:v>
                </c:pt>
                <c:pt idx="339">
                  <c:v>249.4177110312973</c:v>
                </c:pt>
                <c:pt idx="340">
                  <c:v>249.42966898433764</c:v>
                </c:pt>
                <c:pt idx="341">
                  <c:v>249.44155667826487</c:v>
                </c:pt>
                <c:pt idx="342">
                  <c:v>249.45337473047746</c:v>
                </c:pt>
                <c:pt idx="343">
                  <c:v>249.46512375116188</c:v>
                </c:pt>
                <c:pt idx="344">
                  <c:v>249.47680434339662</c:v>
                </c:pt>
                <c:pt idx="345">
                  <c:v>249.48841710325593</c:v>
                </c:pt>
                <c:pt idx="346">
                  <c:v>249.49996261991049</c:v>
                </c:pt>
                <c:pt idx="347">
                  <c:v>249.51144147572811</c:v>
                </c:pt>
                <c:pt idx="348">
                  <c:v>249.52285424637057</c:v>
                </c:pt>
                <c:pt idx="349">
                  <c:v>249.53420150089053</c:v>
                </c:pt>
                <c:pt idx="350">
                  <c:v>249.5454838018259</c:v>
                </c:pt>
                <c:pt idx="351">
                  <c:v>249.55670170529316</c:v>
                </c:pt>
                <c:pt idx="352">
                  <c:v>249.56785576107819</c:v>
                </c:pt>
                <c:pt idx="353">
                  <c:v>249.57894651272611</c:v>
                </c:pt>
                <c:pt idx="354">
                  <c:v>249.58997449763018</c:v>
                </c:pt>
                <c:pt idx="355">
                  <c:v>249.60094024711788</c:v>
                </c:pt>
                <c:pt idx="356">
                  <c:v>249.61184428653655</c:v>
                </c:pt>
                <c:pt idx="357">
                  <c:v>249.62268713533783</c:v>
                </c:pt>
                <c:pt idx="358">
                  <c:v>249.633469307159</c:v>
                </c:pt>
                <c:pt idx="359">
                  <c:v>249.64419130990504</c:v>
                </c:pt>
                <c:pt idx="360">
                  <c:v>249.65485364582779</c:v>
                </c:pt>
                <c:pt idx="361">
                  <c:v>249.66545681160488</c:v>
                </c:pt>
                <c:pt idx="362">
                  <c:v>249.67600129841674</c:v>
                </c:pt>
                <c:pt idx="363">
                  <c:v>249.6864875920219</c:v>
                </c:pt>
                <c:pt idx="364">
                  <c:v>249.69691617283209</c:v>
                </c:pt>
                <c:pt idx="365">
                  <c:v>249.70728751598594</c:v>
                </c:pt>
                <c:pt idx="366">
                  <c:v>249.71760209142028</c:v>
                </c:pt>
                <c:pt idx="367">
                  <c:v>249.72786036394166</c:v>
                </c:pt>
                <c:pt idx="368">
                  <c:v>249.73806279329634</c:v>
                </c:pt>
                <c:pt idx="369">
                  <c:v>249.74820983423839</c:v>
                </c:pt>
                <c:pt idx="370">
                  <c:v>249.75830193659783</c:v>
                </c:pt>
                <c:pt idx="371">
                  <c:v>249.76833954534638</c:v>
                </c:pt>
                <c:pt idx="372">
                  <c:v>249.77832310066384</c:v>
                </c:pt>
                <c:pt idx="373">
                  <c:v>249.7882530380017</c:v>
                </c:pt>
                <c:pt idx="374">
                  <c:v>249.79812978814672</c:v>
                </c:pt>
                <c:pt idx="375">
                  <c:v>249.8079537772833</c:v>
                </c:pt>
                <c:pt idx="376">
                  <c:v>249.81772542705448</c:v>
                </c:pt>
                <c:pt idx="377">
                  <c:v>249.82744515462244</c:v>
                </c:pt>
                <c:pt idx="378">
                  <c:v>249.83711337272783</c:v>
                </c:pt>
                <c:pt idx="379">
                  <c:v>249.84673048974872</c:v>
                </c:pt>
                <c:pt idx="380">
                  <c:v>249.85629690975708</c:v>
                </c:pt>
                <c:pt idx="381">
                  <c:v>249.86581303257606</c:v>
                </c:pt>
                <c:pt idx="382">
                  <c:v>249.87527925383554</c:v>
                </c:pt>
                <c:pt idx="383">
                  <c:v>249.88469596502694</c:v>
                </c:pt>
                <c:pt idx="384">
                  <c:v>249.89406355355769</c:v>
                </c:pt>
                <c:pt idx="385">
                  <c:v>249.90338240280306</c:v>
                </c:pt>
                <c:pt idx="386">
                  <c:v>249.91265289215974</c:v>
                </c:pt>
                <c:pt idx="387">
                  <c:v>249.92187539709687</c:v>
                </c:pt>
                <c:pt idx="388">
                  <c:v>249.93105028920667</c:v>
                </c:pt>
                <c:pt idx="389">
                  <c:v>249.94017793625457</c:v>
                </c:pt>
                <c:pt idx="390">
                  <c:v>249.94925870222806</c:v>
                </c:pt>
                <c:pt idx="391">
                  <c:v>249.95829294738522</c:v>
                </c:pt>
                <c:pt idx="392">
                  <c:v>249.96728102830232</c:v>
                </c:pt>
                <c:pt idx="393">
                  <c:v>249.97622329792065</c:v>
                </c:pt>
                <c:pt idx="394">
                  <c:v>249.98512010559338</c:v>
                </c:pt>
                <c:pt idx="395">
                  <c:v>249.99397179712977</c:v>
                </c:pt>
                <c:pt idx="396">
                  <c:v>250.00277871484113</c:v>
                </c:pt>
                <c:pt idx="397">
                  <c:v>250.01154119758439</c:v>
                </c:pt>
                <c:pt idx="398">
                  <c:v>250.02025958080606</c:v>
                </c:pt>
                <c:pt idx="399">
                  <c:v>250.028934196584</c:v>
                </c:pt>
                <c:pt idx="400">
                  <c:v>250.03756537367082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FBD-4639-BBAB-B7E819067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143679"/>
        <c:axId val="214026366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Visualization!$B$17</c15:sqref>
                        </c15:formulaRef>
                      </c:ext>
                    </c:extLst>
                    <c:strCache>
                      <c:ptCount val="1"/>
                      <c:pt idx="0">
                        <c:v>V (L)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Visualization!$A$18:$A$418</c15:sqref>
                        </c15:formulaRef>
                      </c:ext>
                    </c:extLst>
                    <c:numCache>
                      <c:formatCode>0.000</c:formatCode>
                      <c:ptCount val="401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  <c:pt idx="360">
                        <c:v>360</c:v>
                      </c:pt>
                      <c:pt idx="361">
                        <c:v>361</c:v>
                      </c:pt>
                      <c:pt idx="362">
                        <c:v>362</c:v>
                      </c:pt>
                      <c:pt idx="363">
                        <c:v>363</c:v>
                      </c:pt>
                      <c:pt idx="364">
                        <c:v>364</c:v>
                      </c:pt>
                      <c:pt idx="365">
                        <c:v>365</c:v>
                      </c:pt>
                      <c:pt idx="366">
                        <c:v>366</c:v>
                      </c:pt>
                      <c:pt idx="367">
                        <c:v>367</c:v>
                      </c:pt>
                      <c:pt idx="368">
                        <c:v>368</c:v>
                      </c:pt>
                      <c:pt idx="369">
                        <c:v>369</c:v>
                      </c:pt>
                      <c:pt idx="370">
                        <c:v>370</c:v>
                      </c:pt>
                      <c:pt idx="371">
                        <c:v>371</c:v>
                      </c:pt>
                      <c:pt idx="372">
                        <c:v>372</c:v>
                      </c:pt>
                      <c:pt idx="373">
                        <c:v>373</c:v>
                      </c:pt>
                      <c:pt idx="374">
                        <c:v>374</c:v>
                      </c:pt>
                      <c:pt idx="375">
                        <c:v>375</c:v>
                      </c:pt>
                      <c:pt idx="376">
                        <c:v>376</c:v>
                      </c:pt>
                      <c:pt idx="377">
                        <c:v>377</c:v>
                      </c:pt>
                      <c:pt idx="378">
                        <c:v>378</c:v>
                      </c:pt>
                      <c:pt idx="379">
                        <c:v>379</c:v>
                      </c:pt>
                      <c:pt idx="380">
                        <c:v>380</c:v>
                      </c:pt>
                      <c:pt idx="381">
                        <c:v>381</c:v>
                      </c:pt>
                      <c:pt idx="382">
                        <c:v>382</c:v>
                      </c:pt>
                      <c:pt idx="383">
                        <c:v>383</c:v>
                      </c:pt>
                      <c:pt idx="384">
                        <c:v>384</c:v>
                      </c:pt>
                      <c:pt idx="385">
                        <c:v>385</c:v>
                      </c:pt>
                      <c:pt idx="386">
                        <c:v>386</c:v>
                      </c:pt>
                      <c:pt idx="387">
                        <c:v>387</c:v>
                      </c:pt>
                      <c:pt idx="388">
                        <c:v>388</c:v>
                      </c:pt>
                      <c:pt idx="389">
                        <c:v>389</c:v>
                      </c:pt>
                      <c:pt idx="390">
                        <c:v>390</c:v>
                      </c:pt>
                      <c:pt idx="391">
                        <c:v>391</c:v>
                      </c:pt>
                      <c:pt idx="392">
                        <c:v>392</c:v>
                      </c:pt>
                      <c:pt idx="393">
                        <c:v>393</c:v>
                      </c:pt>
                      <c:pt idx="394">
                        <c:v>394</c:v>
                      </c:pt>
                      <c:pt idx="395">
                        <c:v>395</c:v>
                      </c:pt>
                      <c:pt idx="396">
                        <c:v>396</c:v>
                      </c:pt>
                      <c:pt idx="397">
                        <c:v>397</c:v>
                      </c:pt>
                      <c:pt idx="398">
                        <c:v>398</c:v>
                      </c:pt>
                      <c:pt idx="399">
                        <c:v>399</c:v>
                      </c:pt>
                      <c:pt idx="400">
                        <c:v>400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Visualization!$B$18:$B$418</c15:sqref>
                        </c15:formulaRef>
                      </c:ext>
                    </c:extLst>
                    <c:numCache>
                      <c:formatCode>0.000</c:formatCode>
                      <c:ptCount val="401"/>
                      <c:pt idx="0">
                        <c:v>100</c:v>
                      </c:pt>
                      <c:pt idx="1">
                        <c:v>561.54794252456043</c:v>
                      </c:pt>
                      <c:pt idx="2">
                        <c:v>1023.0958850491157</c:v>
                      </c:pt>
                      <c:pt idx="3">
                        <c:v>1489.259306998928</c:v>
                      </c:pt>
                      <c:pt idx="4">
                        <c:v>1955.4227289487403</c:v>
                      </c:pt>
                      <c:pt idx="5">
                        <c:v>2421.5861508985527</c:v>
                      </c:pt>
                      <c:pt idx="6">
                        <c:v>2887.749572848365</c:v>
                      </c:pt>
                      <c:pt idx="7">
                        <c:v>3353.9129947981774</c:v>
                      </c:pt>
                      <c:pt idx="8">
                        <c:v>3820.0764167479897</c:v>
                      </c:pt>
                      <c:pt idx="9">
                        <c:v>4286.2398386977829</c:v>
                      </c:pt>
                      <c:pt idx="10">
                        <c:v>4752.4032606475494</c:v>
                      </c:pt>
                      <c:pt idx="11">
                        <c:v>5218.5666825973158</c:v>
                      </c:pt>
                      <c:pt idx="12">
                        <c:v>5684.7301045470822</c:v>
                      </c:pt>
                      <c:pt idx="13">
                        <c:v>6150.8935264968486</c:v>
                      </c:pt>
                      <c:pt idx="14">
                        <c:v>6617.056948446615</c:v>
                      </c:pt>
                      <c:pt idx="15">
                        <c:v>7083.2203703963814</c:v>
                      </c:pt>
                      <c:pt idx="16">
                        <c:v>7549.3837923461479</c:v>
                      </c:pt>
                      <c:pt idx="17">
                        <c:v>8010.9317348706691</c:v>
                      </c:pt>
                      <c:pt idx="18">
                        <c:v>8472.4796773951912</c:v>
                      </c:pt>
                      <c:pt idx="19">
                        <c:v>8934.0276199197124</c:v>
                      </c:pt>
                      <c:pt idx="20">
                        <c:v>9395.5755624442336</c:v>
                      </c:pt>
                      <c:pt idx="21">
                        <c:v>9857.1235049687548</c:v>
                      </c:pt>
                      <c:pt idx="22">
                        <c:v>10318.671447493276</c:v>
                      </c:pt>
                      <c:pt idx="23">
                        <c:v>10780.219390017797</c:v>
                      </c:pt>
                      <c:pt idx="24">
                        <c:v>11241.767332542318</c:v>
                      </c:pt>
                      <c:pt idx="25">
                        <c:v>11703.31527506684</c:v>
                      </c:pt>
                      <c:pt idx="26">
                        <c:v>12164.863217591361</c:v>
                      </c:pt>
                      <c:pt idx="27">
                        <c:v>12626.411160115882</c:v>
                      </c:pt>
                      <c:pt idx="28">
                        <c:v>13087.959102640403</c:v>
                      </c:pt>
                      <c:pt idx="29">
                        <c:v>13549.507045164924</c:v>
                      </c:pt>
                      <c:pt idx="30">
                        <c:v>14011.054987689446</c:v>
                      </c:pt>
                      <c:pt idx="31">
                        <c:v>14472.602930213967</c:v>
                      </c:pt>
                      <c:pt idx="32">
                        <c:v>14934.150872738488</c:v>
                      </c:pt>
                      <c:pt idx="33">
                        <c:v>15400.314294688254</c:v>
                      </c:pt>
                      <c:pt idx="34">
                        <c:v>15866.477716638021</c:v>
                      </c:pt>
                      <c:pt idx="35">
                        <c:v>16332.641138587787</c:v>
                      </c:pt>
                      <c:pt idx="36">
                        <c:v>16798.804560537716</c:v>
                      </c:pt>
                      <c:pt idx="37">
                        <c:v>17264.967982487666</c:v>
                      </c:pt>
                      <c:pt idx="38">
                        <c:v>17731.131404437616</c:v>
                      </c:pt>
                      <c:pt idx="39">
                        <c:v>18197.294826387566</c:v>
                      </c:pt>
                      <c:pt idx="40">
                        <c:v>18663.458248337516</c:v>
                      </c:pt>
                      <c:pt idx="41">
                        <c:v>19129.621670287466</c:v>
                      </c:pt>
                      <c:pt idx="42">
                        <c:v>19595.785092237416</c:v>
                      </c:pt>
                      <c:pt idx="43">
                        <c:v>20061.948514187367</c:v>
                      </c:pt>
                      <c:pt idx="44">
                        <c:v>20528.111936137317</c:v>
                      </c:pt>
                      <c:pt idx="45">
                        <c:v>20994.275358087267</c:v>
                      </c:pt>
                      <c:pt idx="46">
                        <c:v>21460.438780037217</c:v>
                      </c:pt>
                      <c:pt idx="47">
                        <c:v>21926.602201987167</c:v>
                      </c:pt>
                      <c:pt idx="48">
                        <c:v>22392.765623937117</c:v>
                      </c:pt>
                      <c:pt idx="49">
                        <c:v>22858.929045887067</c:v>
                      </c:pt>
                      <c:pt idx="50">
                        <c:v>23325.092467837017</c:v>
                      </c:pt>
                      <c:pt idx="51">
                        <c:v>23791.255889786968</c:v>
                      </c:pt>
                      <c:pt idx="52">
                        <c:v>24257.419311736918</c:v>
                      </c:pt>
                      <c:pt idx="53">
                        <c:v>24723.582733686868</c:v>
                      </c:pt>
                      <c:pt idx="54">
                        <c:v>25189.746155636818</c:v>
                      </c:pt>
                      <c:pt idx="55">
                        <c:v>25655.909577586768</c:v>
                      </c:pt>
                      <c:pt idx="56">
                        <c:v>26122.072999536718</c:v>
                      </c:pt>
                      <c:pt idx="57">
                        <c:v>26588.236421486668</c:v>
                      </c:pt>
                      <c:pt idx="58">
                        <c:v>27054.399843436619</c:v>
                      </c:pt>
                      <c:pt idx="59">
                        <c:v>27520.563265386569</c:v>
                      </c:pt>
                      <c:pt idx="60">
                        <c:v>27986.726687336519</c:v>
                      </c:pt>
                      <c:pt idx="61">
                        <c:v>28452.890109286469</c:v>
                      </c:pt>
                      <c:pt idx="62">
                        <c:v>28919.053531236419</c:v>
                      </c:pt>
                      <c:pt idx="63">
                        <c:v>29385.216953186369</c:v>
                      </c:pt>
                      <c:pt idx="64">
                        <c:v>29851.380375136319</c:v>
                      </c:pt>
                      <c:pt idx="65">
                        <c:v>30312.928317661022</c:v>
                      </c:pt>
                      <c:pt idx="66">
                        <c:v>30774.476260185726</c:v>
                      </c:pt>
                      <c:pt idx="67">
                        <c:v>31236.024202710429</c:v>
                      </c:pt>
                      <c:pt idx="68">
                        <c:v>31697.572145235132</c:v>
                      </c:pt>
                      <c:pt idx="69">
                        <c:v>32159.120087759835</c:v>
                      </c:pt>
                      <c:pt idx="70">
                        <c:v>32620.668030284538</c:v>
                      </c:pt>
                      <c:pt idx="71">
                        <c:v>33082.21597280899</c:v>
                      </c:pt>
                      <c:pt idx="72">
                        <c:v>33543.763915333329</c:v>
                      </c:pt>
                      <c:pt idx="73">
                        <c:v>34005.311857857669</c:v>
                      </c:pt>
                      <c:pt idx="74">
                        <c:v>34466.859800382008</c:v>
                      </c:pt>
                      <c:pt idx="75">
                        <c:v>34928.407742906347</c:v>
                      </c:pt>
                      <c:pt idx="76">
                        <c:v>35389.955685430687</c:v>
                      </c:pt>
                      <c:pt idx="77">
                        <c:v>35851.503627955026</c:v>
                      </c:pt>
                      <c:pt idx="78">
                        <c:v>36313.051570479365</c:v>
                      </c:pt>
                      <c:pt idx="79">
                        <c:v>36774.599513003704</c:v>
                      </c:pt>
                      <c:pt idx="80">
                        <c:v>37236.147455528044</c:v>
                      </c:pt>
                      <c:pt idx="81">
                        <c:v>37697.695398052383</c:v>
                      </c:pt>
                      <c:pt idx="82">
                        <c:v>38159.243340576722</c:v>
                      </c:pt>
                      <c:pt idx="83">
                        <c:v>38620.791283101062</c:v>
                      </c:pt>
                      <c:pt idx="84">
                        <c:v>39082.339225625401</c:v>
                      </c:pt>
                      <c:pt idx="85">
                        <c:v>39543.88716814974</c:v>
                      </c:pt>
                      <c:pt idx="86">
                        <c:v>40005.43511067408</c:v>
                      </c:pt>
                      <c:pt idx="87">
                        <c:v>40466.983053198419</c:v>
                      </c:pt>
                      <c:pt idx="88">
                        <c:v>40928.530995722758</c:v>
                      </c:pt>
                      <c:pt idx="89">
                        <c:v>41390.078938247098</c:v>
                      </c:pt>
                      <c:pt idx="90">
                        <c:v>41851.626880771437</c:v>
                      </c:pt>
                      <c:pt idx="91">
                        <c:v>42313.174823295776</c:v>
                      </c:pt>
                      <c:pt idx="92">
                        <c:v>42774.722765820115</c:v>
                      </c:pt>
                      <c:pt idx="93">
                        <c:v>43236.270708344455</c:v>
                      </c:pt>
                      <c:pt idx="94">
                        <c:v>43697.818650868794</c:v>
                      </c:pt>
                      <c:pt idx="95">
                        <c:v>44159.366593393133</c:v>
                      </c:pt>
                      <c:pt idx="96">
                        <c:v>44620.914535917473</c:v>
                      </c:pt>
                      <c:pt idx="97">
                        <c:v>45082.462478441812</c:v>
                      </c:pt>
                      <c:pt idx="98">
                        <c:v>45544.010420966151</c:v>
                      </c:pt>
                      <c:pt idx="99">
                        <c:v>46005.558363490491</c:v>
                      </c:pt>
                      <c:pt idx="100">
                        <c:v>46467.10630601483</c:v>
                      </c:pt>
                      <c:pt idx="101">
                        <c:v>46928.654248539169</c:v>
                      </c:pt>
                      <c:pt idx="102">
                        <c:v>47390.202191063509</c:v>
                      </c:pt>
                      <c:pt idx="103">
                        <c:v>47851.750133587848</c:v>
                      </c:pt>
                      <c:pt idx="104">
                        <c:v>48313.298076112187</c:v>
                      </c:pt>
                      <c:pt idx="105">
                        <c:v>48774.846018636526</c:v>
                      </c:pt>
                      <c:pt idx="106">
                        <c:v>49236.393961160866</c:v>
                      </c:pt>
                      <c:pt idx="107">
                        <c:v>49697.941903685205</c:v>
                      </c:pt>
                      <c:pt idx="108">
                        <c:v>50159.489846209544</c:v>
                      </c:pt>
                      <c:pt idx="109">
                        <c:v>50621.037788733884</c:v>
                      </c:pt>
                      <c:pt idx="110">
                        <c:v>51082.585731258223</c:v>
                      </c:pt>
                      <c:pt idx="111">
                        <c:v>51544.133673782562</c:v>
                      </c:pt>
                      <c:pt idx="112">
                        <c:v>52005.681616306902</c:v>
                      </c:pt>
                      <c:pt idx="113">
                        <c:v>52467.229558831241</c:v>
                      </c:pt>
                      <c:pt idx="114">
                        <c:v>52928.77750135558</c:v>
                      </c:pt>
                      <c:pt idx="115">
                        <c:v>53390.325443879919</c:v>
                      </c:pt>
                      <c:pt idx="116">
                        <c:v>53851.873386404259</c:v>
                      </c:pt>
                      <c:pt idx="117">
                        <c:v>54313.421328928598</c:v>
                      </c:pt>
                      <c:pt idx="118">
                        <c:v>54774.969271452937</c:v>
                      </c:pt>
                      <c:pt idx="119">
                        <c:v>55236.517213977277</c:v>
                      </c:pt>
                      <c:pt idx="120">
                        <c:v>55698.065156501616</c:v>
                      </c:pt>
                      <c:pt idx="121">
                        <c:v>56159.613099025955</c:v>
                      </c:pt>
                      <c:pt idx="122">
                        <c:v>56621.161041550295</c:v>
                      </c:pt>
                      <c:pt idx="123">
                        <c:v>57082.708984074634</c:v>
                      </c:pt>
                      <c:pt idx="124">
                        <c:v>57544.256926598973</c:v>
                      </c:pt>
                      <c:pt idx="125">
                        <c:v>58005.804869123313</c:v>
                      </c:pt>
                      <c:pt idx="126">
                        <c:v>58467.352811647652</c:v>
                      </c:pt>
                      <c:pt idx="127">
                        <c:v>58928.900754171991</c:v>
                      </c:pt>
                      <c:pt idx="128">
                        <c:v>59390.44869669633</c:v>
                      </c:pt>
                      <c:pt idx="129">
                        <c:v>59856.612118645913</c:v>
                      </c:pt>
                      <c:pt idx="130">
                        <c:v>60322.775540595496</c:v>
                      </c:pt>
                      <c:pt idx="131">
                        <c:v>60788.938962545079</c:v>
                      </c:pt>
                      <c:pt idx="132">
                        <c:v>61255.102384494661</c:v>
                      </c:pt>
                      <c:pt idx="133">
                        <c:v>61721.265806444244</c:v>
                      </c:pt>
                      <c:pt idx="134">
                        <c:v>62187.429228393827</c:v>
                      </c:pt>
                      <c:pt idx="135">
                        <c:v>62653.592650343409</c:v>
                      </c:pt>
                      <c:pt idx="136">
                        <c:v>63119.756072292992</c:v>
                      </c:pt>
                      <c:pt idx="137">
                        <c:v>63585.919494242575</c:v>
                      </c:pt>
                      <c:pt idx="138">
                        <c:v>64052.082916192157</c:v>
                      </c:pt>
                      <c:pt idx="139">
                        <c:v>64518.24633814174</c:v>
                      </c:pt>
                      <c:pt idx="140">
                        <c:v>64984.409760091323</c:v>
                      </c:pt>
                      <c:pt idx="141">
                        <c:v>65450.573182040906</c:v>
                      </c:pt>
                      <c:pt idx="142">
                        <c:v>65916.736603991085</c:v>
                      </c:pt>
                      <c:pt idx="143">
                        <c:v>66382.900025941402</c:v>
                      </c:pt>
                      <c:pt idx="144">
                        <c:v>66849.06344789172</c:v>
                      </c:pt>
                      <c:pt idx="145">
                        <c:v>67315.226869842038</c:v>
                      </c:pt>
                      <c:pt idx="146">
                        <c:v>67781.390291792355</c:v>
                      </c:pt>
                      <c:pt idx="147">
                        <c:v>68247.553713742673</c:v>
                      </c:pt>
                      <c:pt idx="148">
                        <c:v>68713.71713569299</c:v>
                      </c:pt>
                      <c:pt idx="149">
                        <c:v>69179.880557643308</c:v>
                      </c:pt>
                      <c:pt idx="150">
                        <c:v>69646.043979593625</c:v>
                      </c:pt>
                      <c:pt idx="151">
                        <c:v>70112.207401543943</c:v>
                      </c:pt>
                      <c:pt idx="152">
                        <c:v>70578.370823494261</c:v>
                      </c:pt>
                      <c:pt idx="153">
                        <c:v>71044.534245444578</c:v>
                      </c:pt>
                      <c:pt idx="154">
                        <c:v>71510.697667394896</c:v>
                      </c:pt>
                      <c:pt idx="155">
                        <c:v>71976.861089345213</c:v>
                      </c:pt>
                      <c:pt idx="156">
                        <c:v>72443.024511295531</c:v>
                      </c:pt>
                      <c:pt idx="157">
                        <c:v>72909.187933245848</c:v>
                      </c:pt>
                      <c:pt idx="158">
                        <c:v>73375.351355196166</c:v>
                      </c:pt>
                      <c:pt idx="159">
                        <c:v>73841.514777146484</c:v>
                      </c:pt>
                      <c:pt idx="160">
                        <c:v>74307.678199096801</c:v>
                      </c:pt>
                      <c:pt idx="161">
                        <c:v>74773.841621047119</c:v>
                      </c:pt>
                      <c:pt idx="162">
                        <c:v>75240.005042997436</c:v>
                      </c:pt>
                      <c:pt idx="163">
                        <c:v>75706.168464947754</c:v>
                      </c:pt>
                      <c:pt idx="164">
                        <c:v>76172.331886898071</c:v>
                      </c:pt>
                      <c:pt idx="165">
                        <c:v>76638.495308848389</c:v>
                      </c:pt>
                      <c:pt idx="166">
                        <c:v>77104.658730798707</c:v>
                      </c:pt>
                      <c:pt idx="167">
                        <c:v>77570.822152749024</c:v>
                      </c:pt>
                      <c:pt idx="168">
                        <c:v>78036.985574699342</c:v>
                      </c:pt>
                      <c:pt idx="169">
                        <c:v>78503.148996649659</c:v>
                      </c:pt>
                      <c:pt idx="170">
                        <c:v>78969.312418599977</c:v>
                      </c:pt>
                      <c:pt idx="171">
                        <c:v>79435.475840550294</c:v>
                      </c:pt>
                      <c:pt idx="172">
                        <c:v>79901.639262500612</c:v>
                      </c:pt>
                      <c:pt idx="173">
                        <c:v>80367.80268445093</c:v>
                      </c:pt>
                      <c:pt idx="174">
                        <c:v>80833.966106401247</c:v>
                      </c:pt>
                      <c:pt idx="175">
                        <c:v>81300.129528351565</c:v>
                      </c:pt>
                      <c:pt idx="176">
                        <c:v>81766.292950301882</c:v>
                      </c:pt>
                      <c:pt idx="177">
                        <c:v>82232.4563722522</c:v>
                      </c:pt>
                      <c:pt idx="178">
                        <c:v>82698.619794202517</c:v>
                      </c:pt>
                      <c:pt idx="179">
                        <c:v>83164.783216152835</c:v>
                      </c:pt>
                      <c:pt idx="180">
                        <c:v>83630.946638103153</c:v>
                      </c:pt>
                      <c:pt idx="181">
                        <c:v>84097.11006005347</c:v>
                      </c:pt>
                      <c:pt idx="182">
                        <c:v>84563.273482003788</c:v>
                      </c:pt>
                      <c:pt idx="183">
                        <c:v>85029.436903954105</c:v>
                      </c:pt>
                      <c:pt idx="184">
                        <c:v>85495.600325904423</c:v>
                      </c:pt>
                      <c:pt idx="185">
                        <c:v>85961.76374785474</c:v>
                      </c:pt>
                      <c:pt idx="186">
                        <c:v>86427.927169805058</c:v>
                      </c:pt>
                      <c:pt idx="187">
                        <c:v>86894.090591755375</c:v>
                      </c:pt>
                      <c:pt idx="188">
                        <c:v>87360.254013705693</c:v>
                      </c:pt>
                      <c:pt idx="189">
                        <c:v>87826.417435656011</c:v>
                      </c:pt>
                      <c:pt idx="190">
                        <c:v>88292.580857606328</c:v>
                      </c:pt>
                      <c:pt idx="191">
                        <c:v>88758.744279556646</c:v>
                      </c:pt>
                      <c:pt idx="192">
                        <c:v>89224.907701506963</c:v>
                      </c:pt>
                      <c:pt idx="193">
                        <c:v>89691.071123457281</c:v>
                      </c:pt>
                      <c:pt idx="194">
                        <c:v>90157.234545407598</c:v>
                      </c:pt>
                      <c:pt idx="195">
                        <c:v>90623.397967357916</c:v>
                      </c:pt>
                      <c:pt idx="196">
                        <c:v>91089.561389308234</c:v>
                      </c:pt>
                      <c:pt idx="197">
                        <c:v>91555.724811258551</c:v>
                      </c:pt>
                      <c:pt idx="198">
                        <c:v>92021.888233208869</c:v>
                      </c:pt>
                      <c:pt idx="199">
                        <c:v>92488.051655159186</c:v>
                      </c:pt>
                      <c:pt idx="200">
                        <c:v>92954.215077109504</c:v>
                      </c:pt>
                      <c:pt idx="201">
                        <c:v>93420.378499059821</c:v>
                      </c:pt>
                      <c:pt idx="202">
                        <c:v>93886.541921010139</c:v>
                      </c:pt>
                      <c:pt idx="203">
                        <c:v>94352.705342960457</c:v>
                      </c:pt>
                      <c:pt idx="204">
                        <c:v>94818.868764910774</c:v>
                      </c:pt>
                      <c:pt idx="205">
                        <c:v>95285.032186861092</c:v>
                      </c:pt>
                      <c:pt idx="206">
                        <c:v>95751.195608811409</c:v>
                      </c:pt>
                      <c:pt idx="207">
                        <c:v>96217.359030761727</c:v>
                      </c:pt>
                      <c:pt idx="208">
                        <c:v>96683.522452712044</c:v>
                      </c:pt>
                      <c:pt idx="209">
                        <c:v>97149.685874662362</c:v>
                      </c:pt>
                      <c:pt idx="210">
                        <c:v>97615.84929661268</c:v>
                      </c:pt>
                      <c:pt idx="211">
                        <c:v>98082.012718562997</c:v>
                      </c:pt>
                      <c:pt idx="212">
                        <c:v>98548.176140513315</c:v>
                      </c:pt>
                      <c:pt idx="213">
                        <c:v>99014.339562463632</c:v>
                      </c:pt>
                      <c:pt idx="214">
                        <c:v>99480.50298441395</c:v>
                      </c:pt>
                      <c:pt idx="215">
                        <c:v>99946.666406364267</c:v>
                      </c:pt>
                      <c:pt idx="216">
                        <c:v>100412.82982831459</c:v>
                      </c:pt>
                      <c:pt idx="217">
                        <c:v>100878.9932502649</c:v>
                      </c:pt>
                      <c:pt idx="218">
                        <c:v>101345.15667221522</c:v>
                      </c:pt>
                      <c:pt idx="219">
                        <c:v>101811.32009416554</c:v>
                      </c:pt>
                      <c:pt idx="220">
                        <c:v>102277.48351611586</c:v>
                      </c:pt>
                      <c:pt idx="221">
                        <c:v>102743.64693806617</c:v>
                      </c:pt>
                      <c:pt idx="222">
                        <c:v>103209.81036001649</c:v>
                      </c:pt>
                      <c:pt idx="223">
                        <c:v>103675.97378196681</c:v>
                      </c:pt>
                      <c:pt idx="224">
                        <c:v>104142.13720391713</c:v>
                      </c:pt>
                      <c:pt idx="225">
                        <c:v>104608.30062586744</c:v>
                      </c:pt>
                      <c:pt idx="226">
                        <c:v>105074.46404781776</c:v>
                      </c:pt>
                      <c:pt idx="227">
                        <c:v>105540.62746976808</c:v>
                      </c:pt>
                      <c:pt idx="228">
                        <c:v>106006.7908917184</c:v>
                      </c:pt>
                      <c:pt idx="229">
                        <c:v>106472.95431366871</c:v>
                      </c:pt>
                      <c:pt idx="230">
                        <c:v>106939.11773561903</c:v>
                      </c:pt>
                      <c:pt idx="231">
                        <c:v>107405.28115756935</c:v>
                      </c:pt>
                      <c:pt idx="232">
                        <c:v>107871.44457951967</c:v>
                      </c:pt>
                      <c:pt idx="233">
                        <c:v>108337.60800146998</c:v>
                      </c:pt>
                      <c:pt idx="234">
                        <c:v>108803.7714234203</c:v>
                      </c:pt>
                      <c:pt idx="235">
                        <c:v>109269.93484537062</c:v>
                      </c:pt>
                      <c:pt idx="236">
                        <c:v>109736.09826732094</c:v>
                      </c:pt>
                      <c:pt idx="237">
                        <c:v>110202.26168927125</c:v>
                      </c:pt>
                      <c:pt idx="238">
                        <c:v>110668.42511122157</c:v>
                      </c:pt>
                      <c:pt idx="239">
                        <c:v>111134.58853317189</c:v>
                      </c:pt>
                      <c:pt idx="240">
                        <c:v>111600.75195512221</c:v>
                      </c:pt>
                      <c:pt idx="241">
                        <c:v>112066.91537707252</c:v>
                      </c:pt>
                      <c:pt idx="242">
                        <c:v>112533.07879902284</c:v>
                      </c:pt>
                      <c:pt idx="243">
                        <c:v>112999.24222097316</c:v>
                      </c:pt>
                      <c:pt idx="244">
                        <c:v>113465.40564292348</c:v>
                      </c:pt>
                      <c:pt idx="245">
                        <c:v>113931.56906487379</c:v>
                      </c:pt>
                      <c:pt idx="246">
                        <c:v>114397.73248682411</c:v>
                      </c:pt>
                      <c:pt idx="247">
                        <c:v>114863.89590877443</c:v>
                      </c:pt>
                      <c:pt idx="248">
                        <c:v>115330.05933072475</c:v>
                      </c:pt>
                      <c:pt idx="249">
                        <c:v>115796.22275267506</c:v>
                      </c:pt>
                      <c:pt idx="250">
                        <c:v>116262.38617462538</c:v>
                      </c:pt>
                      <c:pt idx="251">
                        <c:v>116728.5495965757</c:v>
                      </c:pt>
                      <c:pt idx="252">
                        <c:v>117194.71301852602</c:v>
                      </c:pt>
                      <c:pt idx="253">
                        <c:v>117660.87644047634</c:v>
                      </c:pt>
                      <c:pt idx="254">
                        <c:v>118127.03986242665</c:v>
                      </c:pt>
                      <c:pt idx="255">
                        <c:v>118593.20328437697</c:v>
                      </c:pt>
                      <c:pt idx="256">
                        <c:v>119059.36670632729</c:v>
                      </c:pt>
                      <c:pt idx="257">
                        <c:v>119525.53012827761</c:v>
                      </c:pt>
                      <c:pt idx="258">
                        <c:v>119991.69355022792</c:v>
                      </c:pt>
                      <c:pt idx="259">
                        <c:v>120457.85697217824</c:v>
                      </c:pt>
                      <c:pt idx="260">
                        <c:v>120924.02039412856</c:v>
                      </c:pt>
                      <c:pt idx="261">
                        <c:v>121390.18381607888</c:v>
                      </c:pt>
                      <c:pt idx="262">
                        <c:v>121856.34723802919</c:v>
                      </c:pt>
                      <c:pt idx="263">
                        <c:v>122322.51065997951</c:v>
                      </c:pt>
                      <c:pt idx="264">
                        <c:v>122788.67408192983</c:v>
                      </c:pt>
                      <c:pt idx="265">
                        <c:v>123254.83750388015</c:v>
                      </c:pt>
                      <c:pt idx="266">
                        <c:v>123721.00092583046</c:v>
                      </c:pt>
                      <c:pt idx="267">
                        <c:v>124187.16434778078</c:v>
                      </c:pt>
                      <c:pt idx="268">
                        <c:v>124653.3277697311</c:v>
                      </c:pt>
                      <c:pt idx="269">
                        <c:v>125119.49119168142</c:v>
                      </c:pt>
                      <c:pt idx="270">
                        <c:v>125585.65461363173</c:v>
                      </c:pt>
                      <c:pt idx="271">
                        <c:v>126051.81803558205</c:v>
                      </c:pt>
                      <c:pt idx="272">
                        <c:v>126517.98145753237</c:v>
                      </c:pt>
                      <c:pt idx="273">
                        <c:v>126984.14487948269</c:v>
                      </c:pt>
                      <c:pt idx="274">
                        <c:v>127450.308301433</c:v>
                      </c:pt>
                      <c:pt idx="275">
                        <c:v>127916.47172338332</c:v>
                      </c:pt>
                      <c:pt idx="276">
                        <c:v>128382.63514533364</c:v>
                      </c:pt>
                      <c:pt idx="277">
                        <c:v>128848.79856728396</c:v>
                      </c:pt>
                      <c:pt idx="278">
                        <c:v>129314.96198923427</c:v>
                      </c:pt>
                      <c:pt idx="279">
                        <c:v>129781.12541118459</c:v>
                      </c:pt>
                      <c:pt idx="280">
                        <c:v>130247.28883313491</c:v>
                      </c:pt>
                      <c:pt idx="281">
                        <c:v>130713.45225508523</c:v>
                      </c:pt>
                      <c:pt idx="282">
                        <c:v>131179.61567703521</c:v>
                      </c:pt>
                      <c:pt idx="283">
                        <c:v>131645.77909898406</c:v>
                      </c:pt>
                      <c:pt idx="284">
                        <c:v>132111.94252093291</c:v>
                      </c:pt>
                      <c:pt idx="285">
                        <c:v>132578.10594288175</c:v>
                      </c:pt>
                      <c:pt idx="286">
                        <c:v>133044.2693648306</c:v>
                      </c:pt>
                      <c:pt idx="287">
                        <c:v>133510.43278677945</c:v>
                      </c:pt>
                      <c:pt idx="288">
                        <c:v>133976.5962087283</c:v>
                      </c:pt>
                      <c:pt idx="289">
                        <c:v>134442.75963067714</c:v>
                      </c:pt>
                      <c:pt idx="290">
                        <c:v>134908.92305262599</c:v>
                      </c:pt>
                      <c:pt idx="291">
                        <c:v>135375.08647457484</c:v>
                      </c:pt>
                      <c:pt idx="292">
                        <c:v>135841.24989652369</c:v>
                      </c:pt>
                      <c:pt idx="293">
                        <c:v>136307.41331847254</c:v>
                      </c:pt>
                      <c:pt idx="294">
                        <c:v>136773.57674042138</c:v>
                      </c:pt>
                      <c:pt idx="295">
                        <c:v>137239.74016237023</c:v>
                      </c:pt>
                      <c:pt idx="296">
                        <c:v>137705.90358431908</c:v>
                      </c:pt>
                      <c:pt idx="297">
                        <c:v>138172.06700626793</c:v>
                      </c:pt>
                      <c:pt idx="298">
                        <c:v>138638.23042821678</c:v>
                      </c:pt>
                      <c:pt idx="299">
                        <c:v>139104.39385016562</c:v>
                      </c:pt>
                      <c:pt idx="300">
                        <c:v>139570.55727211447</c:v>
                      </c:pt>
                      <c:pt idx="301">
                        <c:v>140036.72069406332</c:v>
                      </c:pt>
                      <c:pt idx="302">
                        <c:v>140502.88411601217</c:v>
                      </c:pt>
                      <c:pt idx="303">
                        <c:v>140969.04753796101</c:v>
                      </c:pt>
                      <c:pt idx="304">
                        <c:v>141435.21095990986</c:v>
                      </c:pt>
                      <c:pt idx="305">
                        <c:v>141901.37438185871</c:v>
                      </c:pt>
                      <c:pt idx="306">
                        <c:v>142367.53780380756</c:v>
                      </c:pt>
                      <c:pt idx="307">
                        <c:v>142833.70122575641</c:v>
                      </c:pt>
                      <c:pt idx="308">
                        <c:v>143299.86464770525</c:v>
                      </c:pt>
                      <c:pt idx="309">
                        <c:v>143766.0280696541</c:v>
                      </c:pt>
                      <c:pt idx="310">
                        <c:v>144232.19149160295</c:v>
                      </c:pt>
                      <c:pt idx="311">
                        <c:v>144698.3549135518</c:v>
                      </c:pt>
                      <c:pt idx="312">
                        <c:v>145164.51833550064</c:v>
                      </c:pt>
                      <c:pt idx="313">
                        <c:v>145630.68175744949</c:v>
                      </c:pt>
                      <c:pt idx="314">
                        <c:v>146096.84517939834</c:v>
                      </c:pt>
                      <c:pt idx="315">
                        <c:v>146563.00860134719</c:v>
                      </c:pt>
                      <c:pt idx="316">
                        <c:v>147029.17202329604</c:v>
                      </c:pt>
                      <c:pt idx="317">
                        <c:v>147495.33544524488</c:v>
                      </c:pt>
                      <c:pt idx="318">
                        <c:v>147961.49886719373</c:v>
                      </c:pt>
                      <c:pt idx="319">
                        <c:v>148427.66228914258</c:v>
                      </c:pt>
                      <c:pt idx="320">
                        <c:v>148893.82571109143</c:v>
                      </c:pt>
                      <c:pt idx="321">
                        <c:v>149359.98913304028</c:v>
                      </c:pt>
                      <c:pt idx="322">
                        <c:v>149826.15255498912</c:v>
                      </c:pt>
                      <c:pt idx="323">
                        <c:v>150292.31597693797</c:v>
                      </c:pt>
                      <c:pt idx="324">
                        <c:v>150758.47939888682</c:v>
                      </c:pt>
                      <c:pt idx="325">
                        <c:v>151224.64282083567</c:v>
                      </c:pt>
                      <c:pt idx="326">
                        <c:v>151690.80624278451</c:v>
                      </c:pt>
                      <c:pt idx="327">
                        <c:v>152156.96966473336</c:v>
                      </c:pt>
                      <c:pt idx="328">
                        <c:v>152623.13308668221</c:v>
                      </c:pt>
                      <c:pt idx="329">
                        <c:v>153089.29650863106</c:v>
                      </c:pt>
                      <c:pt idx="330">
                        <c:v>153555.45993057991</c:v>
                      </c:pt>
                      <c:pt idx="331">
                        <c:v>154021.62335252875</c:v>
                      </c:pt>
                      <c:pt idx="332">
                        <c:v>154487.7867744776</c:v>
                      </c:pt>
                      <c:pt idx="333">
                        <c:v>154953.95019642645</c:v>
                      </c:pt>
                      <c:pt idx="334">
                        <c:v>155420.1136183753</c:v>
                      </c:pt>
                      <c:pt idx="335">
                        <c:v>155886.27704032414</c:v>
                      </c:pt>
                      <c:pt idx="336">
                        <c:v>156352.44046227299</c:v>
                      </c:pt>
                      <c:pt idx="337">
                        <c:v>156818.60388422184</c:v>
                      </c:pt>
                      <c:pt idx="338">
                        <c:v>157284.76730617069</c:v>
                      </c:pt>
                      <c:pt idx="339">
                        <c:v>157750.93072811954</c:v>
                      </c:pt>
                      <c:pt idx="340">
                        <c:v>158217.09415006838</c:v>
                      </c:pt>
                      <c:pt idx="341">
                        <c:v>158683.25757201723</c:v>
                      </c:pt>
                      <c:pt idx="342">
                        <c:v>159149.42099396608</c:v>
                      </c:pt>
                      <c:pt idx="343">
                        <c:v>159615.58441591493</c:v>
                      </c:pt>
                      <c:pt idx="344">
                        <c:v>160081.74783786378</c:v>
                      </c:pt>
                      <c:pt idx="345">
                        <c:v>160547.91125981262</c:v>
                      </c:pt>
                      <c:pt idx="346">
                        <c:v>161014.07468176147</c:v>
                      </c:pt>
                      <c:pt idx="347">
                        <c:v>161480.23810371032</c:v>
                      </c:pt>
                      <c:pt idx="348">
                        <c:v>161946.40152565917</c:v>
                      </c:pt>
                      <c:pt idx="349">
                        <c:v>162412.56494760801</c:v>
                      </c:pt>
                      <c:pt idx="350">
                        <c:v>162878.72836955686</c:v>
                      </c:pt>
                      <c:pt idx="351">
                        <c:v>163344.89179150571</c:v>
                      </c:pt>
                      <c:pt idx="352">
                        <c:v>163811.05521345456</c:v>
                      </c:pt>
                      <c:pt idx="353">
                        <c:v>164277.21863540341</c:v>
                      </c:pt>
                      <c:pt idx="354">
                        <c:v>164743.38205735225</c:v>
                      </c:pt>
                      <c:pt idx="355">
                        <c:v>165209.5454793011</c:v>
                      </c:pt>
                      <c:pt idx="356">
                        <c:v>165675.70890124995</c:v>
                      </c:pt>
                      <c:pt idx="357">
                        <c:v>166141.8723231988</c:v>
                      </c:pt>
                      <c:pt idx="358">
                        <c:v>166608.03574514764</c:v>
                      </c:pt>
                      <c:pt idx="359">
                        <c:v>167074.19916709649</c:v>
                      </c:pt>
                      <c:pt idx="360">
                        <c:v>167540.36258904534</c:v>
                      </c:pt>
                      <c:pt idx="361">
                        <c:v>168006.52601099419</c:v>
                      </c:pt>
                      <c:pt idx="362">
                        <c:v>168472.68943294304</c:v>
                      </c:pt>
                      <c:pt idx="363">
                        <c:v>168938.85285489188</c:v>
                      </c:pt>
                      <c:pt idx="364">
                        <c:v>169405.01627684073</c:v>
                      </c:pt>
                      <c:pt idx="365">
                        <c:v>169871.17969878958</c:v>
                      </c:pt>
                      <c:pt idx="366">
                        <c:v>170337.34312073843</c:v>
                      </c:pt>
                      <c:pt idx="367">
                        <c:v>170803.50654268728</c:v>
                      </c:pt>
                      <c:pt idx="368">
                        <c:v>171269.66996463612</c:v>
                      </c:pt>
                      <c:pt idx="369">
                        <c:v>171735.83338658497</c:v>
                      </c:pt>
                      <c:pt idx="370">
                        <c:v>172201.99680853382</c:v>
                      </c:pt>
                      <c:pt idx="371">
                        <c:v>172668.16023048267</c:v>
                      </c:pt>
                      <c:pt idx="372">
                        <c:v>173134.32365243151</c:v>
                      </c:pt>
                      <c:pt idx="373">
                        <c:v>173600.48707438036</c:v>
                      </c:pt>
                      <c:pt idx="374">
                        <c:v>174066.65049632921</c:v>
                      </c:pt>
                      <c:pt idx="375">
                        <c:v>174532.81391827806</c:v>
                      </c:pt>
                      <c:pt idx="376">
                        <c:v>174998.97734022691</c:v>
                      </c:pt>
                      <c:pt idx="377">
                        <c:v>175465.14076217575</c:v>
                      </c:pt>
                      <c:pt idx="378">
                        <c:v>175931.3041841246</c:v>
                      </c:pt>
                      <c:pt idx="379">
                        <c:v>176397.46760607345</c:v>
                      </c:pt>
                      <c:pt idx="380">
                        <c:v>176863.6310280223</c:v>
                      </c:pt>
                      <c:pt idx="381">
                        <c:v>177329.79444997114</c:v>
                      </c:pt>
                      <c:pt idx="382">
                        <c:v>177795.95787191999</c:v>
                      </c:pt>
                      <c:pt idx="383">
                        <c:v>178262.12129386884</c:v>
                      </c:pt>
                      <c:pt idx="384">
                        <c:v>178728.28471581769</c:v>
                      </c:pt>
                      <c:pt idx="385">
                        <c:v>179194.44813776654</c:v>
                      </c:pt>
                      <c:pt idx="386">
                        <c:v>179660.61155971538</c:v>
                      </c:pt>
                      <c:pt idx="387">
                        <c:v>180126.77498166423</c:v>
                      </c:pt>
                      <c:pt idx="388">
                        <c:v>180592.93840361308</c:v>
                      </c:pt>
                      <c:pt idx="389">
                        <c:v>181059.10182556193</c:v>
                      </c:pt>
                      <c:pt idx="390">
                        <c:v>181525.26524751078</c:v>
                      </c:pt>
                      <c:pt idx="391">
                        <c:v>181991.42866945962</c:v>
                      </c:pt>
                      <c:pt idx="392">
                        <c:v>182457.59209140847</c:v>
                      </c:pt>
                      <c:pt idx="393">
                        <c:v>182923.75551335732</c:v>
                      </c:pt>
                      <c:pt idx="394">
                        <c:v>183389.91893530617</c:v>
                      </c:pt>
                      <c:pt idx="395">
                        <c:v>183856.08235725501</c:v>
                      </c:pt>
                      <c:pt idx="396">
                        <c:v>184322.24577920386</c:v>
                      </c:pt>
                      <c:pt idx="397">
                        <c:v>184788.40920115271</c:v>
                      </c:pt>
                      <c:pt idx="398">
                        <c:v>185254.57262310156</c:v>
                      </c:pt>
                      <c:pt idx="399">
                        <c:v>185720.73604505041</c:v>
                      </c:pt>
                      <c:pt idx="400">
                        <c:v>186186.89946699925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BFBD-4639-BBAB-B7E8190679C1}"/>
                  </c:ext>
                </c:extLst>
              </c15:ser>
            </c15:filteredScatterSeries>
          </c:ext>
        </c:extLst>
      </c:scatterChart>
      <c:valAx>
        <c:axId val="93143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[hr]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0263663"/>
        <c:crosses val="autoZero"/>
        <c:crossBetween val="midCat"/>
      </c:valAx>
      <c:valAx>
        <c:axId val="2140263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g/L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1436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20</xdr:row>
      <xdr:rowOff>49530</xdr:rowOff>
    </xdr:from>
    <xdr:to>
      <xdr:col>6</xdr:col>
      <xdr:colOff>329565</xdr:colOff>
      <xdr:row>33</xdr:row>
      <xdr:rowOff>118110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C1DE6B6-C33F-DD24-1DEC-86BBBB4C25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114300</xdr:colOff>
      <xdr:row>37</xdr:row>
      <xdr:rowOff>23812</xdr:rowOff>
    </xdr:from>
    <xdr:to>
      <xdr:col>6</xdr:col>
      <xdr:colOff>361950</xdr:colOff>
      <xdr:row>50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4472DBF-CFF7-43A4-58B0-CB69DD03D3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85725</xdr:colOff>
      <xdr:row>54</xdr:row>
      <xdr:rowOff>71437</xdr:rowOff>
    </xdr:from>
    <xdr:to>
      <xdr:col>8</xdr:col>
      <xdr:colOff>352425</xdr:colOff>
      <xdr:row>67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01F633E-146C-5861-619D-CC2EB3F535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904875</xdr:colOff>
      <xdr:row>10</xdr:row>
      <xdr:rowOff>33337</xdr:rowOff>
    </xdr:from>
    <xdr:to>
      <xdr:col>11</xdr:col>
      <xdr:colOff>238125</xdr:colOff>
      <xdr:row>23</xdr:row>
      <xdr:rowOff>52387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D53AE73-8EFE-74FE-2D68-C501EFDBCE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Illia Negovora" id="{6EA9119F-B484-4DB8-8073-18B1297F28D9}" userId="S::illia.negovora@nutrien.com::ac038942-70d8-43e0-9349-1843eba3a405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3" dT="2023-12-01T18:27:32.72" personId="{6EA9119F-B484-4DB8-8073-18B1297F28D9}" id="{0697D668-B800-44E2-9634-03B3C96810DD}">
    <text>About 12x25ft cylindrical reactor</text>
  </threadedComment>
  <threadedComment ref="E4" dT="2023-12-01T18:33:14.68" personId="{6EA9119F-B484-4DB8-8073-18B1297F28D9}" id="{FC2D03F9-ACB6-46A5-B58D-4023B6AD675E}">
    <text>Maximum a month of runtime</text>
  </threadedComment>
  <threadedComment ref="E5" dT="2023-12-01T18:34:07.59" personId="{6EA9119F-B484-4DB8-8073-18B1297F28D9}" id="{65D9C8E9-36D6-44C5-95CA-9AAAC5AD5029}">
    <text>Minimum 24 time of runtime, since maintaining multiple batch reactors with runtime under 24 hours would be borderline impossible.</text>
  </threadedComment>
  <threadedComment ref="E6" dT="2023-12-01T19:21:13.69" personId="{6EA9119F-B484-4DB8-8073-18B1297F28D9}" id="{DCA37B91-D231-4CDC-A16A-81B47BDBA56E}">
    <text>More then 10 320000L reactors might be not unrealistic, but not convincing.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E3" dT="2023-12-01T18:27:32.72" personId="{6EA9119F-B484-4DB8-8073-18B1297F28D9}" id="{E12CE888-55AB-491D-A21C-6DEA925FFA6B}">
    <text>About 12x25ft cylindrical reactor</text>
  </threadedComment>
  <threadedComment ref="E4" dT="2023-12-01T18:33:14.68" personId="{6EA9119F-B484-4DB8-8073-18B1297F28D9}" id="{28F28CF9-C120-49DB-932F-1A7F8639BAE8}">
    <text>Maximum a month of runtime</text>
  </threadedComment>
  <threadedComment ref="E5" dT="2023-12-01T18:34:07.59" personId="{6EA9119F-B484-4DB8-8073-18B1297F28D9}" id="{2186D7A0-DDA1-46C7-9077-47B1EB4043B1}">
    <text>Minimum 24 time of runtime, since maintaining multiple batch reactors with runtime under 24 hours would be borderline impossible.</text>
  </threadedComment>
  <threadedComment ref="E6" dT="2023-12-01T19:21:13.69" personId="{6EA9119F-B484-4DB8-8073-18B1297F28D9}" id="{2E3B5CFB-0EC6-482F-91A5-B68491026E7F}">
    <text>More then 10 320000L reactors might be not unrealistic, but not convincing.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41738-2C25-475F-89BC-1A12577AED57}">
  <sheetPr codeName="Sheet1"/>
  <dimension ref="A1:H82"/>
  <sheetViews>
    <sheetView topLeftCell="A41" zoomScaleNormal="100" workbookViewId="0">
      <selection activeCell="J68" sqref="J68"/>
    </sheetView>
  </sheetViews>
  <sheetFormatPr defaultColWidth="15.7109375" defaultRowHeight="16.5" customHeight="1"/>
  <sheetData>
    <row r="1" spans="1:4" ht="16.5" customHeight="1">
      <c r="A1" s="82" t="s">
        <v>0</v>
      </c>
      <c r="B1" s="82"/>
      <c r="C1" s="82"/>
      <c r="D1" s="82"/>
    </row>
    <row r="2" spans="1:4" ht="16.5" customHeight="1" thickBot="1"/>
    <row r="3" spans="1:4" ht="16.5" customHeight="1" thickBot="1">
      <c r="A3" s="84" t="s">
        <v>1</v>
      </c>
      <c r="B3" s="85"/>
      <c r="C3" s="85"/>
      <c r="D3" s="86"/>
    </row>
    <row r="4" spans="1:4" ht="16.5" customHeight="1" thickBot="1">
      <c r="A4" s="4" t="s">
        <v>2</v>
      </c>
      <c r="B4" s="3" t="s">
        <v>3</v>
      </c>
      <c r="C4" s="3" t="s">
        <v>4</v>
      </c>
      <c r="D4" s="3" t="s">
        <v>5</v>
      </c>
    </row>
    <row r="5" spans="1:4" ht="16.5" customHeight="1">
      <c r="A5" s="5">
        <v>0.02</v>
      </c>
      <c r="B5" s="1">
        <v>9.3600000000000003E-2</v>
      </c>
      <c r="C5" s="1">
        <v>38.499200000000002</v>
      </c>
      <c r="D5" s="1">
        <v>174.05500000000001</v>
      </c>
    </row>
    <row r="6" spans="1:4" ht="16.5" customHeight="1">
      <c r="A6" s="5">
        <v>0.03</v>
      </c>
      <c r="B6" s="1">
        <v>0.1449</v>
      </c>
      <c r="C6" s="1">
        <v>39.08</v>
      </c>
      <c r="D6" s="1">
        <v>118.0476</v>
      </c>
    </row>
    <row r="7" spans="1:4" ht="16.5" customHeight="1">
      <c r="A7" s="5">
        <v>4.0399999999999998E-2</v>
      </c>
      <c r="B7" s="1">
        <v>0.19950000000000001</v>
      </c>
      <c r="C7" s="1">
        <v>39.363999999999997</v>
      </c>
      <c r="D7" s="1">
        <v>89.376099999999994</v>
      </c>
    </row>
    <row r="8" spans="1:4" ht="16.5" customHeight="1">
      <c r="A8" s="5">
        <v>5.0999999999999997E-2</v>
      </c>
      <c r="B8" s="1">
        <v>0.26169999999999999</v>
      </c>
      <c r="C8" s="1">
        <v>39.513199999999998</v>
      </c>
      <c r="D8" s="1">
        <v>71.929900000000004</v>
      </c>
    </row>
    <row r="9" spans="1:4" ht="16.5" customHeight="1">
      <c r="A9" s="5">
        <v>6.0600000000000001E-2</v>
      </c>
      <c r="B9" s="1">
        <v>0.33129999999999998</v>
      </c>
      <c r="C9" s="1">
        <v>39.578600000000002</v>
      </c>
      <c r="D9" s="1">
        <v>60.172600000000003</v>
      </c>
    </row>
    <row r="10" spans="1:4" ht="16.5" customHeight="1">
      <c r="A10" s="5">
        <v>7.0699999999999999E-2</v>
      </c>
      <c r="B10" s="1">
        <v>0.41370000000000001</v>
      </c>
      <c r="C10" s="1">
        <v>39.604700000000001</v>
      </c>
      <c r="D10" s="1">
        <v>51.723799999999997</v>
      </c>
    </row>
    <row r="11" spans="1:4" ht="16.5" customHeight="1">
      <c r="A11" s="5">
        <v>8.0799999999999997E-2</v>
      </c>
      <c r="B11" s="1">
        <v>41.655000000000001</v>
      </c>
      <c r="C11" s="1"/>
      <c r="D11" s="1"/>
    </row>
    <row r="12" spans="1:4" ht="16.5" customHeight="1">
      <c r="A12" s="5">
        <v>9.1800000000000007E-2</v>
      </c>
      <c r="B12" s="1">
        <v>34.5456</v>
      </c>
      <c r="C12" s="1"/>
      <c r="D12" s="1"/>
    </row>
    <row r="13" spans="1:4" ht="16.5" customHeight="1">
      <c r="A13" s="5">
        <v>0.10299999999999999</v>
      </c>
      <c r="B13" s="1">
        <v>28.806100000000001</v>
      </c>
      <c r="C13" s="1"/>
      <c r="D13" s="1"/>
    </row>
    <row r="14" spans="1:4" ht="16.5" customHeight="1">
      <c r="A14" s="5">
        <v>0.1111</v>
      </c>
      <c r="B14" s="1">
        <v>24.056100000000001</v>
      </c>
      <c r="C14" s="1"/>
      <c r="D14" s="1"/>
    </row>
    <row r="15" spans="1:4" ht="16.5" customHeight="1">
      <c r="A15" s="5">
        <v>0.12</v>
      </c>
      <c r="B15" s="1">
        <v>20.036300000000001</v>
      </c>
      <c r="C15" s="1"/>
      <c r="D15" s="1"/>
    </row>
    <row r="16" spans="1:4" ht="16.5" customHeight="1">
      <c r="A16" s="5">
        <v>0.13</v>
      </c>
      <c r="B16" s="1">
        <v>16.558499999999999</v>
      </c>
      <c r="C16" s="1"/>
      <c r="D16" s="1"/>
    </row>
    <row r="17" spans="1:4" ht="16.5" customHeight="1" thickBot="1">
      <c r="A17" s="6">
        <v>0.14000000000000001</v>
      </c>
      <c r="B17" s="2">
        <v>13.4726</v>
      </c>
      <c r="C17" s="2"/>
      <c r="D17" s="2"/>
    </row>
    <row r="19" spans="1:4" ht="16.5" customHeight="1">
      <c r="A19" s="82" t="s">
        <v>6</v>
      </c>
      <c r="B19" s="82"/>
      <c r="C19" s="82"/>
    </row>
    <row r="20" spans="1:4" ht="16.5" customHeight="1" thickBot="1"/>
    <row r="21" spans="1:4" ht="16.5" customHeight="1">
      <c r="A21" s="41" t="s">
        <v>7</v>
      </c>
      <c r="B21" s="32">
        <f>$A$10</f>
        <v>7.0699999999999999E-2</v>
      </c>
    </row>
    <row r="22" spans="1:4" ht="16.5" customHeight="1" thickBot="1">
      <c r="A22" s="43" t="s">
        <v>8</v>
      </c>
      <c r="B22" s="33">
        <f>3212.3*B21^2-1190.7*B21+116.91</f>
        <v>48.784159426999992</v>
      </c>
    </row>
    <row r="36" spans="1:3" ht="16.5" customHeight="1">
      <c r="A36" s="82" t="s">
        <v>9</v>
      </c>
      <c r="B36" s="82"/>
      <c r="C36" s="82"/>
    </row>
    <row r="37" spans="1:3" ht="16.5" customHeight="1" thickBot="1"/>
    <row r="38" spans="1:3" ht="16.5" customHeight="1" thickBot="1">
      <c r="A38" s="4" t="s">
        <v>10</v>
      </c>
      <c r="B38" s="4" t="s">
        <v>11</v>
      </c>
    </row>
    <row r="39" spans="1:3" ht="16.5" customHeight="1">
      <c r="A39" s="8">
        <f>1/A5</f>
        <v>50</v>
      </c>
      <c r="B39" s="8">
        <f>1/(C5/(50-B5))</f>
        <v>1.2962970659130577</v>
      </c>
    </row>
    <row r="40" spans="1:3" ht="16.5" customHeight="1">
      <c r="A40" s="9">
        <f t="shared" ref="A40:A44" si="0">1/A6</f>
        <v>33.333333333333336</v>
      </c>
      <c r="B40" s="9">
        <f>1/(C6/(50-B6))</f>
        <v>1.2757190378710339</v>
      </c>
    </row>
    <row r="41" spans="1:3" ht="16.5" customHeight="1">
      <c r="A41" s="9">
        <f t="shared" si="0"/>
        <v>24.752475247524753</v>
      </c>
      <c r="B41" s="9">
        <f>1/(C7/(50-B7))</f>
        <v>1.2651280357687229</v>
      </c>
    </row>
    <row r="42" spans="1:3" ht="16.5" customHeight="1">
      <c r="A42" s="9">
        <f t="shared" si="0"/>
        <v>19.607843137254903</v>
      </c>
      <c r="B42" s="9">
        <f t="shared" ref="B42:B44" si="1">1/(C8/(50-B8))</f>
        <v>1.258776813824241</v>
      </c>
    </row>
    <row r="43" spans="1:3" ht="16.5" customHeight="1">
      <c r="A43" s="9">
        <f t="shared" si="0"/>
        <v>16.5016501650165</v>
      </c>
      <c r="B43" s="9">
        <f t="shared" si="1"/>
        <v>1.2549382747242195</v>
      </c>
    </row>
    <row r="44" spans="1:3" ht="16.5" customHeight="1" thickBot="1">
      <c r="A44" s="10">
        <f t="shared" si="0"/>
        <v>14.144271570014144</v>
      </c>
      <c r="B44" s="10">
        <f t="shared" si="1"/>
        <v>1.2520306933268022</v>
      </c>
    </row>
    <row r="47" spans="1:3" ht="16.5" customHeight="1" thickBot="1"/>
    <row r="48" spans="1:3" ht="16.5" customHeight="1">
      <c r="A48" s="41" t="s">
        <v>12</v>
      </c>
      <c r="B48" s="29" cm="1">
        <f t="array" ref="B48:B49">TRANSPOSE(LINEST(B39:B44,A39:A44))</f>
        <v>1.2345762438276365E-3</v>
      </c>
    </row>
    <row r="49" spans="1:4" ht="16.5" customHeight="1">
      <c r="A49" s="42" t="s">
        <v>13</v>
      </c>
      <c r="B49" s="30">
        <v>1.2345679409308374</v>
      </c>
    </row>
    <row r="50" spans="1:4" ht="16.5" customHeight="1" thickBot="1">
      <c r="A50" s="43" t="s">
        <v>14</v>
      </c>
      <c r="B50" s="31">
        <f>B48*(1/B49)</f>
        <v>1.000006725346191E-3</v>
      </c>
    </row>
    <row r="53" spans="1:4" ht="16.5" customHeight="1">
      <c r="A53" s="82" t="s">
        <v>15</v>
      </c>
      <c r="B53" s="83"/>
      <c r="C53" s="83"/>
    </row>
    <row r="54" spans="1:4" ht="16.5" customHeight="1" thickBot="1"/>
    <row r="55" spans="1:4" ht="16.5" customHeight="1" thickBot="1">
      <c r="A55" s="7" t="s">
        <v>16</v>
      </c>
      <c r="B55" s="7" t="s">
        <v>17</v>
      </c>
      <c r="C55" s="7" t="s">
        <v>18</v>
      </c>
      <c r="D55" s="32" t="s">
        <v>19</v>
      </c>
    </row>
    <row r="56" spans="1:4" ht="16.5" customHeight="1">
      <c r="A56" s="5">
        <f>A5</f>
        <v>0.02</v>
      </c>
      <c r="B56" s="5">
        <f>B5</f>
        <v>9.3600000000000003E-2</v>
      </c>
      <c r="C56" s="34">
        <f>($B$66*B56)/($B$65+B56)-$B$50</f>
        <v>2.0338109713532095E-2</v>
      </c>
      <c r="D56" s="11">
        <f>(A56-C56)^2</f>
        <v>1.1431817838475477E-7</v>
      </c>
    </row>
    <row r="57" spans="1:4" ht="16.5" customHeight="1">
      <c r="A57" s="5">
        <f t="shared" ref="A57:B61" si="2">A6</f>
        <v>0.03</v>
      </c>
      <c r="B57" s="5">
        <f t="shared" si="2"/>
        <v>0.1449</v>
      </c>
      <c r="C57" s="34">
        <f t="shared" ref="C57:C61" si="3">($B$66*B57)/($B$65+B57)-$B$50</f>
        <v>3.0476320549792012E-2</v>
      </c>
      <c r="D57" s="15">
        <f t="shared" ref="D57:D61" si="4">(A57-C57)^2</f>
        <v>2.2688126615416536E-7</v>
      </c>
    </row>
    <row r="58" spans="1:4" ht="16.5" customHeight="1">
      <c r="A58" s="5">
        <f t="shared" si="2"/>
        <v>4.0399999999999998E-2</v>
      </c>
      <c r="B58" s="5">
        <f t="shared" si="2"/>
        <v>0.19950000000000001</v>
      </c>
      <c r="C58" s="34">
        <f t="shared" si="3"/>
        <v>4.0267106437582342E-2</v>
      </c>
      <c r="D58" s="15">
        <f t="shared" si="4"/>
        <v>1.7660698932055456E-8</v>
      </c>
    </row>
    <row r="59" spans="1:4" ht="16.5" customHeight="1">
      <c r="A59" s="5">
        <f t="shared" si="2"/>
        <v>5.0999999999999997E-2</v>
      </c>
      <c r="B59" s="5">
        <f t="shared" si="2"/>
        <v>0.26169999999999999</v>
      </c>
      <c r="C59" s="34">
        <f t="shared" si="3"/>
        <v>5.0339930231663527E-2</v>
      </c>
      <c r="D59" s="15">
        <f t="shared" si="4"/>
        <v>4.3569209907176126E-7</v>
      </c>
    </row>
    <row r="60" spans="1:4" ht="16.5" customHeight="1">
      <c r="A60" s="5">
        <f t="shared" si="2"/>
        <v>6.0600000000000001E-2</v>
      </c>
      <c r="B60" s="5">
        <f t="shared" si="2"/>
        <v>0.33129999999999998</v>
      </c>
      <c r="C60" s="34">
        <f t="shared" si="3"/>
        <v>6.044596766299079E-2</v>
      </c>
      <c r="D60" s="15">
        <f t="shared" si="4"/>
        <v>2.3725960844519027E-8</v>
      </c>
    </row>
    <row r="61" spans="1:4" ht="16.5" customHeight="1" thickBot="1">
      <c r="A61" s="6">
        <f t="shared" si="2"/>
        <v>7.0699999999999999E-2</v>
      </c>
      <c r="B61" s="6">
        <f t="shared" si="2"/>
        <v>0.41370000000000001</v>
      </c>
      <c r="C61" s="35">
        <f t="shared" si="3"/>
        <v>7.1070772543204999E-2</v>
      </c>
      <c r="D61" s="12">
        <f t="shared" si="4"/>
        <v>1.3747227879470373E-7</v>
      </c>
    </row>
    <row r="62" spans="1:4" ht="16.5" customHeight="1" thickBot="1">
      <c r="C62" s="7" t="s">
        <v>20</v>
      </c>
      <c r="D62" s="12">
        <f>SUM(D56:D61)</f>
        <v>9.5575048218195958E-7</v>
      </c>
    </row>
    <row r="64" spans="1:4" ht="16.5" customHeight="1" thickBot="1"/>
    <row r="65" spans="1:8" ht="16.5" customHeight="1">
      <c r="A65" s="41" t="s">
        <v>21</v>
      </c>
      <c r="B65" s="24">
        <v>0.9436689271681532</v>
      </c>
    </row>
    <row r="66" spans="1:8" ht="16.5" customHeight="1">
      <c r="A66" s="42" t="s">
        <v>22</v>
      </c>
      <c r="B66" s="25">
        <v>0.23646757634983348</v>
      </c>
    </row>
    <row r="67" spans="1:8" ht="16.5" customHeight="1" thickBot="1">
      <c r="A67" s="43" t="s">
        <v>23</v>
      </c>
      <c r="B67" s="26">
        <f>($B$66*50)/(B65+50)</f>
        <v>0.23208730479139658</v>
      </c>
    </row>
    <row r="70" spans="1:8" ht="16.5" customHeight="1">
      <c r="A70" s="82" t="s">
        <v>24</v>
      </c>
      <c r="B70" s="83"/>
      <c r="C70" s="83"/>
    </row>
    <row r="71" spans="1:8" ht="16.5" customHeight="1" thickBot="1"/>
    <row r="72" spans="1:8" ht="16.5" customHeight="1" thickBot="1">
      <c r="A72" s="13" t="s">
        <v>16</v>
      </c>
      <c r="B72" s="13" t="s">
        <v>17</v>
      </c>
      <c r="C72" s="13" t="s">
        <v>25</v>
      </c>
      <c r="D72" s="13" t="s">
        <v>26</v>
      </c>
      <c r="E72" s="13" t="s">
        <v>27</v>
      </c>
      <c r="F72" s="13" t="s">
        <v>28</v>
      </c>
      <c r="G72" s="13" t="s">
        <v>29</v>
      </c>
      <c r="H72" s="13" t="s">
        <v>19</v>
      </c>
    </row>
    <row r="73" spans="1:8" ht="16.5" customHeight="1">
      <c r="A73" s="16">
        <f>A5</f>
        <v>0.02</v>
      </c>
      <c r="B73" s="14">
        <f>B5</f>
        <v>9.3600000000000003E-2</v>
      </c>
      <c r="C73" s="14">
        <f>C5</f>
        <v>38.499200000000002</v>
      </c>
      <c r="D73" s="14">
        <f>D5</f>
        <v>174.05500000000001</v>
      </c>
      <c r="E73" s="18">
        <f>(A73*D73)/C73</f>
        <v>9.0420060676585479E-2</v>
      </c>
      <c r="F73" s="21">
        <f>($B$66*B73)/($B$65+B73)</f>
        <v>2.1338116438878285E-2</v>
      </c>
      <c r="G73" s="36">
        <f>$B$81*F73+$B$82</f>
        <v>9.0619102988813385E-2</v>
      </c>
      <c r="H73" s="11">
        <f>(E73-G73)^2</f>
        <v>3.9617842057031496E-8</v>
      </c>
    </row>
    <row r="74" spans="1:8" ht="16.5" customHeight="1">
      <c r="A74" s="5">
        <f t="shared" ref="A74:D74" si="5">A6</f>
        <v>0.03</v>
      </c>
      <c r="B74" s="1">
        <f t="shared" si="5"/>
        <v>0.1449</v>
      </c>
      <c r="C74" s="1">
        <f t="shared" si="5"/>
        <v>39.08</v>
      </c>
      <c r="D74" s="1">
        <f t="shared" si="5"/>
        <v>118.0476</v>
      </c>
      <c r="E74" s="19">
        <f t="shared" ref="E74:E78" si="6">(A74*D74)/C74</f>
        <v>9.0619959058341859E-2</v>
      </c>
      <c r="F74" s="22">
        <f t="shared" ref="F74:F78" si="7">($B$66*B74)/($B$65+B74)</f>
        <v>3.1476327275138202E-2</v>
      </c>
      <c r="G74" s="17">
        <f t="shared" ref="G74:G78" si="8">$B$81*F74+$B$82</f>
        <v>9.1046412823147793E-2</v>
      </c>
      <c r="H74" s="15">
        <f t="shared" ref="H74:H78" si="9">(E74-G74)^2</f>
        <v>1.8186281351715496E-7</v>
      </c>
    </row>
    <row r="75" spans="1:8" ht="16.5" customHeight="1">
      <c r="A75" s="5">
        <f t="shared" ref="A75:D75" si="10">A7</f>
        <v>4.0399999999999998E-2</v>
      </c>
      <c r="B75" s="1">
        <f t="shared" si="10"/>
        <v>0.19950000000000001</v>
      </c>
      <c r="C75" s="1">
        <f t="shared" si="10"/>
        <v>39.363999999999997</v>
      </c>
      <c r="D75" s="1">
        <f t="shared" si="10"/>
        <v>89.376099999999994</v>
      </c>
      <c r="E75" s="19">
        <f t="shared" si="6"/>
        <v>9.1728341631947971E-2</v>
      </c>
      <c r="F75" s="22">
        <f t="shared" si="7"/>
        <v>4.1267113162928533E-2</v>
      </c>
      <c r="G75" s="17">
        <f t="shared" si="8"/>
        <v>9.1459079235721524E-2</v>
      </c>
      <c r="H75" s="15">
        <f t="shared" si="9"/>
        <v>7.2502238021608008E-8</v>
      </c>
    </row>
    <row r="76" spans="1:8" ht="16.5" customHeight="1">
      <c r="A76" s="5">
        <f t="shared" ref="A76:D76" si="11">A8</f>
        <v>5.0999999999999997E-2</v>
      </c>
      <c r="B76" s="1">
        <f t="shared" si="11"/>
        <v>0.26169999999999999</v>
      </c>
      <c r="C76" s="1">
        <f t="shared" si="11"/>
        <v>39.513199999999998</v>
      </c>
      <c r="D76" s="1">
        <f t="shared" si="11"/>
        <v>71.929900000000004</v>
      </c>
      <c r="E76" s="19">
        <f t="shared" si="6"/>
        <v>9.2840491278863777E-2</v>
      </c>
      <c r="F76" s="22">
        <f t="shared" si="7"/>
        <v>5.1339936957009717E-2</v>
      </c>
      <c r="G76" s="17">
        <f t="shared" si="8"/>
        <v>9.1883633107824311E-2</v>
      </c>
      <c r="H76" s="15">
        <f t="shared" si="9"/>
        <v>9.1557755948499051E-7</v>
      </c>
    </row>
    <row r="77" spans="1:8" ht="16.5" customHeight="1">
      <c r="A77" s="5">
        <f t="shared" ref="A77:D77" si="12">A9</f>
        <v>6.0600000000000001E-2</v>
      </c>
      <c r="B77" s="1">
        <f t="shared" si="12"/>
        <v>0.33129999999999998</v>
      </c>
      <c r="C77" s="1">
        <f t="shared" si="12"/>
        <v>39.578600000000002</v>
      </c>
      <c r="D77" s="1">
        <f t="shared" si="12"/>
        <v>60.172600000000003</v>
      </c>
      <c r="E77" s="19">
        <f t="shared" si="6"/>
        <v>9.2132100680670875E-2</v>
      </c>
      <c r="F77" s="22">
        <f t="shared" si="7"/>
        <v>6.1445974388336981E-2</v>
      </c>
      <c r="G77" s="17">
        <f t="shared" si="8"/>
        <v>9.2309586883130776E-2</v>
      </c>
      <c r="H77" s="15">
        <f t="shared" si="9"/>
        <v>3.1501352063636803E-8</v>
      </c>
    </row>
    <row r="78" spans="1:8" ht="16.5" customHeight="1" thickBot="1">
      <c r="A78" s="6">
        <f t="shared" ref="A78:D78" si="13">A10</f>
        <v>7.0699999999999999E-2</v>
      </c>
      <c r="B78" s="2">
        <f t="shared" si="13"/>
        <v>0.41370000000000001</v>
      </c>
      <c r="C78" s="2">
        <f t="shared" si="13"/>
        <v>39.604700000000001</v>
      </c>
      <c r="D78" s="2">
        <f t="shared" si="13"/>
        <v>51.723799999999997</v>
      </c>
      <c r="E78" s="20">
        <f t="shared" si="6"/>
        <v>9.2334310321754737E-2</v>
      </c>
      <c r="F78" s="23">
        <f t="shared" si="7"/>
        <v>7.2070779268551197E-2</v>
      </c>
      <c r="G78" s="37">
        <f t="shared" si="8"/>
        <v>9.2757405900364256E-2</v>
      </c>
      <c r="H78" s="12">
        <f t="shared" si="9"/>
        <v>1.7900986863892429E-7</v>
      </c>
    </row>
    <row r="79" spans="1:8" ht="16.5" customHeight="1" thickBot="1">
      <c r="G79" s="7" t="s">
        <v>20</v>
      </c>
      <c r="H79" s="38">
        <f>SUM(H73:H78)</f>
        <v>1.420071673783346E-6</v>
      </c>
    </row>
    <row r="80" spans="1:8" ht="16.5" customHeight="1" thickBot="1"/>
    <row r="81" spans="1:2" ht="16.5" customHeight="1">
      <c r="A81" s="39" t="s">
        <v>30</v>
      </c>
      <c r="B81" s="27">
        <v>4.214844623334485E-2</v>
      </c>
    </row>
    <row r="82" spans="1:2" ht="16.5" customHeight="1" thickBot="1">
      <c r="A82" s="40" t="s">
        <v>31</v>
      </c>
      <c r="B82" s="28">
        <v>8.9719734535368467E-2</v>
      </c>
    </row>
  </sheetData>
  <mergeCells count="6">
    <mergeCell ref="A70:C70"/>
    <mergeCell ref="A3:D3"/>
    <mergeCell ref="A1:D1"/>
    <mergeCell ref="A19:C19"/>
    <mergeCell ref="A36:C36"/>
    <mergeCell ref="A53:C5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3F7ED-850D-4BD1-A233-DD1B7A0201B6}">
  <sheetPr codeName="Sheet4"/>
  <dimension ref="A1:J26"/>
  <sheetViews>
    <sheetView tabSelected="1" workbookViewId="0">
      <selection activeCell="A15" sqref="A15:H15"/>
    </sheetView>
  </sheetViews>
  <sheetFormatPr defaultColWidth="15.7109375" defaultRowHeight="16.5" customHeight="1"/>
  <cols>
    <col min="1" max="1" width="15" style="44" bestFit="1" customWidth="1"/>
    <col min="2" max="2" width="12" style="44" bestFit="1" customWidth="1"/>
    <col min="3" max="3" width="6.7109375" style="44" bestFit="1" customWidth="1"/>
    <col min="4" max="4" width="11" style="44" bestFit="1" customWidth="1"/>
    <col min="5" max="5" width="8.5703125" style="44" bestFit="1" customWidth="1"/>
    <col min="6" max="6" width="12.5703125" style="44" bestFit="1" customWidth="1"/>
    <col min="7" max="7" width="17.5703125" style="44" bestFit="1" customWidth="1"/>
    <col min="8" max="16384" width="15.7109375" style="44"/>
  </cols>
  <sheetData>
    <row r="1" spans="1:10" ht="16.5" customHeight="1">
      <c r="A1" s="88" t="s">
        <v>32</v>
      </c>
      <c r="B1" s="89"/>
      <c r="C1" s="90"/>
      <c r="D1" s="88" t="s">
        <v>33</v>
      </c>
      <c r="E1" s="89"/>
      <c r="F1" s="90"/>
      <c r="G1" s="91" t="s">
        <v>34</v>
      </c>
      <c r="H1" s="92"/>
      <c r="I1" s="92"/>
      <c r="J1" s="92"/>
    </row>
    <row r="2" spans="1:10" ht="16.5" customHeight="1">
      <c r="A2" s="45" t="s">
        <v>35</v>
      </c>
      <c r="B2" s="46">
        <v>461.54794252456037</v>
      </c>
      <c r="C2" s="47" t="s">
        <v>36</v>
      </c>
      <c r="D2" s="59" t="s">
        <v>37</v>
      </c>
      <c r="E2" s="46">
        <v>450</v>
      </c>
      <c r="F2" s="60" t="s">
        <v>38</v>
      </c>
      <c r="G2" s="93" t="s">
        <v>39</v>
      </c>
      <c r="H2" s="94"/>
      <c r="I2" s="94" t="s">
        <v>40</v>
      </c>
      <c r="J2" s="95"/>
    </row>
    <row r="3" spans="1:10" ht="16.5" customHeight="1">
      <c r="A3" s="45" t="s">
        <v>41</v>
      </c>
      <c r="B3" s="48">
        <v>422.47109633439158</v>
      </c>
      <c r="C3" s="47" t="s">
        <v>38</v>
      </c>
      <c r="D3" s="59" t="s">
        <v>42</v>
      </c>
      <c r="E3" s="46">
        <v>320000</v>
      </c>
      <c r="F3" s="60" t="s">
        <v>43</v>
      </c>
      <c r="G3" s="59" t="s">
        <v>44</v>
      </c>
      <c r="H3" s="66">
        <f>200*($B$4*$B$18)/1000+1000</f>
        <v>1019.9997522918788</v>
      </c>
      <c r="I3" s="44" t="s">
        <v>45</v>
      </c>
      <c r="J3" s="69">
        <f>8.12*$E$19*$B$19/1000</f>
        <v>386879.42340345553</v>
      </c>
    </row>
    <row r="4" spans="1:10" ht="16.5" customHeight="1">
      <c r="A4" s="45" t="s">
        <v>46</v>
      </c>
      <c r="B4" s="46">
        <v>0.99998761459394425</v>
      </c>
      <c r="C4" s="47" t="s">
        <v>38</v>
      </c>
      <c r="D4" s="59" t="s">
        <v>47</v>
      </c>
      <c r="E4" s="46">
        <v>730.5</v>
      </c>
      <c r="F4" s="60" t="s">
        <v>48</v>
      </c>
      <c r="G4" s="59" t="s">
        <v>49</v>
      </c>
      <c r="H4" s="66">
        <f>4.12*($B$5*$B$18)/1000+4.12*($B$3*$B$2*$B$6)/1000</f>
        <v>331510.23742208316</v>
      </c>
      <c r="I4" s="49"/>
      <c r="J4" s="69"/>
    </row>
    <row r="5" spans="1:10" ht="16.5" customHeight="1">
      <c r="A5" s="45" t="s">
        <v>50</v>
      </c>
      <c r="B5" s="46">
        <v>300.00427919993592</v>
      </c>
      <c r="C5" s="47" t="s">
        <v>38</v>
      </c>
      <c r="D5" s="59" t="s">
        <v>51</v>
      </c>
      <c r="E5" s="46">
        <v>24</v>
      </c>
      <c r="F5" s="60" t="s">
        <v>48</v>
      </c>
      <c r="G5" s="67" t="s">
        <v>52</v>
      </c>
      <c r="H5" s="68">
        <f>20*$F$19/1000000</f>
        <v>228.92669028821376</v>
      </c>
      <c r="I5" s="63"/>
      <c r="J5" s="70"/>
    </row>
    <row r="6" spans="1:10" ht="16.5" customHeight="1">
      <c r="A6" s="45" t="s">
        <v>53</v>
      </c>
      <c r="B6" s="46">
        <v>412.49999999999994</v>
      </c>
      <c r="C6" s="47" t="s">
        <v>48</v>
      </c>
      <c r="D6" s="61" t="s">
        <v>54</v>
      </c>
      <c r="E6" s="46">
        <v>10</v>
      </c>
      <c r="F6" s="60"/>
      <c r="G6" s="71"/>
      <c r="H6" s="72" t="s">
        <v>55</v>
      </c>
      <c r="I6" s="73">
        <v>0.9</v>
      </c>
      <c r="J6" s="74"/>
    </row>
    <row r="7" spans="1:10" ht="16.5" customHeight="1">
      <c r="A7" s="45" t="s">
        <v>56</v>
      </c>
      <c r="B7" s="46">
        <v>1</v>
      </c>
      <c r="C7" s="47" t="s">
        <v>57</v>
      </c>
      <c r="D7" s="59" t="s">
        <v>58</v>
      </c>
      <c r="E7" s="46">
        <v>400</v>
      </c>
      <c r="F7" s="60" t="s">
        <v>59</v>
      </c>
      <c r="G7" s="67" t="s">
        <v>60</v>
      </c>
      <c r="H7" s="68">
        <f>SUM(H3:H5)*(8766*$I$6/$B$6*$B$7)</f>
        <v>6364291.2664093943</v>
      </c>
      <c r="I7" s="75" t="s">
        <v>61</v>
      </c>
      <c r="J7" s="70">
        <f>SUM(J3:J5)*(8766*$I$6/$B$6*B7)</f>
        <v>7399385.5103011457</v>
      </c>
    </row>
    <row r="8" spans="1:10" ht="16.5" customHeight="1">
      <c r="A8" s="50" t="s">
        <v>62</v>
      </c>
      <c r="B8" s="51">
        <v>0.01</v>
      </c>
      <c r="C8" s="52" t="s">
        <v>48</v>
      </c>
      <c r="D8" s="62"/>
      <c r="E8" s="51"/>
      <c r="F8" s="64"/>
      <c r="G8" s="76" t="s">
        <v>63</v>
      </c>
      <c r="H8" s="79">
        <f>J7-H7</f>
        <v>1035094.2438917514</v>
      </c>
      <c r="I8" s="77"/>
      <c r="J8" s="78"/>
    </row>
    <row r="9" spans="1:10" ht="16.5" customHeight="1">
      <c r="A9" s="49"/>
      <c r="B9" s="49"/>
      <c r="C9" s="49"/>
    </row>
    <row r="10" spans="1:10" ht="16.5" customHeight="1">
      <c r="A10" s="49"/>
      <c r="B10" s="49"/>
      <c r="C10" s="49"/>
    </row>
    <row r="11" spans="1:10" ht="16.5" customHeight="1">
      <c r="A11" s="49"/>
      <c r="B11" s="49"/>
      <c r="C11" s="49"/>
    </row>
    <row r="12" spans="1:10" ht="16.5" customHeight="1">
      <c r="A12" s="49"/>
      <c r="B12" s="49"/>
      <c r="C12" s="49"/>
    </row>
    <row r="13" spans="1:10" ht="16.5" customHeight="1">
      <c r="A13" s="49"/>
      <c r="B13" s="49"/>
      <c r="C13" s="49"/>
    </row>
    <row r="14" spans="1:10" ht="16.5" customHeight="1">
      <c r="A14" s="49"/>
      <c r="B14" s="49"/>
      <c r="C14" s="49"/>
    </row>
    <row r="15" spans="1:10" ht="16.5" customHeight="1">
      <c r="A15" s="87" t="s">
        <v>64</v>
      </c>
      <c r="B15" s="87"/>
      <c r="C15" s="87"/>
      <c r="D15" s="87"/>
      <c r="E15" s="87"/>
      <c r="F15" s="87"/>
      <c r="G15" s="87"/>
      <c r="H15" s="87"/>
    </row>
    <row r="17" spans="1:9" ht="16.5" customHeight="1">
      <c r="A17" s="53" t="s">
        <v>65</v>
      </c>
      <c r="B17" s="54" t="s">
        <v>66</v>
      </c>
      <c r="C17" s="54" t="s">
        <v>67</v>
      </c>
      <c r="D17" s="54" t="s">
        <v>3</v>
      </c>
      <c r="E17" s="54" t="s">
        <v>68</v>
      </c>
      <c r="F17" s="55" t="s">
        <v>69</v>
      </c>
    </row>
    <row r="18" spans="1:9" ht="16.5" customHeight="1">
      <c r="A18" s="56">
        <v>0</v>
      </c>
      <c r="B18" s="57">
        <v>100</v>
      </c>
      <c r="C18" s="57">
        <f>$B$4</f>
        <v>0.99998761459394425</v>
      </c>
      <c r="D18" s="57">
        <f>$B$5</f>
        <v>300.00427919993592</v>
      </c>
      <c r="E18" s="57">
        <v>0</v>
      </c>
      <c r="F18" s="58">
        <v>0</v>
      </c>
      <c r="I18" s="65"/>
    </row>
    <row r="19" spans="1:9" ht="16.5" customHeight="1">
      <c r="A19" s="56">
        <f>B6</f>
        <v>412.49999999999994</v>
      </c>
      <c r="B19" s="57" cm="1">
        <f t="array" ref="B19:F19">runReactor(B18:F18,$B$2,$B$3,A18,A19,$B$8)</f>
        <v>190493.14177074455</v>
      </c>
      <c r="C19" s="57">
        <v>6.836744171340988</v>
      </c>
      <c r="D19" s="57">
        <v>1.0637250077030532E-2</v>
      </c>
      <c r="E19" s="57">
        <v>250.11529939990163</v>
      </c>
      <c r="F19" s="58">
        <v>11446334.514410688</v>
      </c>
      <c r="H19" s="81"/>
    </row>
    <row r="20" spans="1:9" ht="16.5" customHeight="1">
      <c r="A20" s="80"/>
      <c r="B20" s="80"/>
      <c r="C20" s="80"/>
      <c r="D20" s="80"/>
      <c r="E20" s="80"/>
      <c r="F20" s="80"/>
    </row>
    <row r="21" spans="1:9" ht="16.5" customHeight="1">
      <c r="A21" s="80" t="s">
        <v>70</v>
      </c>
      <c r="B21" s="80">
        <f>$E$19*$B$19/1000000*8766*$I$6/$B$6</f>
        <v>911.2543731897963</v>
      </c>
      <c r="C21" s="80" t="s">
        <v>71</v>
      </c>
      <c r="D21" s="80"/>
      <c r="E21" s="80"/>
      <c r="F21" s="80"/>
    </row>
    <row r="26" spans="1:9" ht="16.5" customHeight="1">
      <c r="B26" s="81">
        <v>0</v>
      </c>
      <c r="C26" s="81"/>
      <c r="D26" s="81"/>
      <c r="E26" s="81"/>
      <c r="F26" s="81"/>
    </row>
  </sheetData>
  <mergeCells count="6">
    <mergeCell ref="A15:H15"/>
    <mergeCell ref="A1:C1"/>
    <mergeCell ref="D1:F1"/>
    <mergeCell ref="G1:J1"/>
    <mergeCell ref="G2:H2"/>
    <mergeCell ref="I2:J2"/>
  </mergeCells>
  <pageMargins left="0.7" right="0.7" top="0.75" bottom="0.75" header="0.3" footer="0.3"/>
  <pageSetup orientation="portrait" horizontalDpi="300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85C91-5DD1-4A1D-AB9E-AC1D4263FCFD}">
  <sheetPr codeName="Sheet5"/>
  <dimension ref="A1:F737"/>
  <sheetViews>
    <sheetView topLeftCell="A7" workbookViewId="0">
      <selection activeCell="G15" sqref="G15"/>
    </sheetView>
  </sheetViews>
  <sheetFormatPr defaultColWidth="15.7109375" defaultRowHeight="16.5" customHeight="1"/>
  <cols>
    <col min="1" max="1" width="15" style="44" bestFit="1" customWidth="1"/>
    <col min="2" max="2" width="12" style="44" bestFit="1" customWidth="1"/>
    <col min="3" max="3" width="6.7109375" style="44" bestFit="1" customWidth="1"/>
    <col min="4" max="4" width="11" style="44" bestFit="1" customWidth="1"/>
    <col min="5" max="5" width="8.5703125" style="44" bestFit="1" customWidth="1"/>
    <col min="6" max="6" width="13.7109375" style="44" bestFit="1" customWidth="1"/>
    <col min="7" max="16384" width="15.7109375" style="44"/>
  </cols>
  <sheetData>
    <row r="1" spans="1:6" ht="16.5" customHeight="1">
      <c r="A1" s="88" t="s">
        <v>32</v>
      </c>
      <c r="B1" s="89"/>
      <c r="C1" s="90"/>
      <c r="D1" s="88" t="s">
        <v>33</v>
      </c>
      <c r="E1" s="89"/>
      <c r="F1" s="90"/>
    </row>
    <row r="2" spans="1:6" ht="16.5" customHeight="1">
      <c r="A2" s="45" t="s">
        <v>35</v>
      </c>
      <c r="B2" s="46">
        <v>461.54794252456037</v>
      </c>
      <c r="C2" s="47" t="s">
        <v>36</v>
      </c>
      <c r="D2" s="59" t="s">
        <v>37</v>
      </c>
      <c r="E2" s="46">
        <v>450</v>
      </c>
      <c r="F2" s="60" t="s">
        <v>38</v>
      </c>
    </row>
    <row r="3" spans="1:6" ht="16.5" customHeight="1">
      <c r="A3" s="45" t="s">
        <v>41</v>
      </c>
      <c r="B3" s="48">
        <v>422.47109633439158</v>
      </c>
      <c r="C3" s="47" t="s">
        <v>38</v>
      </c>
      <c r="D3" s="59" t="s">
        <v>42</v>
      </c>
      <c r="E3" s="46">
        <v>320000</v>
      </c>
      <c r="F3" s="60" t="s">
        <v>43</v>
      </c>
    </row>
    <row r="4" spans="1:6" ht="16.5" customHeight="1">
      <c r="A4" s="45" t="s">
        <v>46</v>
      </c>
      <c r="B4" s="46">
        <v>0.99998761459394425</v>
      </c>
      <c r="C4" s="47" t="s">
        <v>38</v>
      </c>
      <c r="D4" s="59" t="s">
        <v>47</v>
      </c>
      <c r="E4" s="46">
        <v>730.5</v>
      </c>
      <c r="F4" s="60" t="s">
        <v>48</v>
      </c>
    </row>
    <row r="5" spans="1:6" ht="16.5" customHeight="1">
      <c r="A5" s="45" t="s">
        <v>50</v>
      </c>
      <c r="B5" s="46">
        <v>300.00427919993592</v>
      </c>
      <c r="C5" s="47" t="s">
        <v>38</v>
      </c>
      <c r="D5" s="59" t="s">
        <v>51</v>
      </c>
      <c r="E5" s="46">
        <v>24</v>
      </c>
      <c r="F5" s="60" t="s">
        <v>48</v>
      </c>
    </row>
    <row r="6" spans="1:6" ht="16.5" customHeight="1">
      <c r="A6" s="45" t="s">
        <v>53</v>
      </c>
      <c r="B6" s="46">
        <v>412.49999999999994</v>
      </c>
      <c r="C6" s="47" t="s">
        <v>48</v>
      </c>
      <c r="D6" s="61" t="s">
        <v>54</v>
      </c>
      <c r="E6" s="46">
        <v>10</v>
      </c>
      <c r="F6" s="60"/>
    </row>
    <row r="7" spans="1:6" ht="16.5" customHeight="1">
      <c r="A7" s="45" t="s">
        <v>56</v>
      </c>
      <c r="B7" s="46">
        <v>1</v>
      </c>
      <c r="C7" s="47" t="s">
        <v>57</v>
      </c>
      <c r="D7" s="59" t="s">
        <v>58</v>
      </c>
      <c r="E7" s="46">
        <v>400</v>
      </c>
      <c r="F7" s="60" t="s">
        <v>59</v>
      </c>
    </row>
    <row r="8" spans="1:6" ht="16.5" customHeight="1">
      <c r="A8" s="50" t="s">
        <v>62</v>
      </c>
      <c r="B8" s="51">
        <v>0.01</v>
      </c>
      <c r="C8" s="52" t="s">
        <v>48</v>
      </c>
      <c r="D8" s="62"/>
      <c r="E8" s="51"/>
      <c r="F8" s="64"/>
    </row>
    <row r="9" spans="1:6" ht="16.5" customHeight="1">
      <c r="A9" s="49"/>
      <c r="C9" s="49"/>
    </row>
    <row r="10" spans="1:6" ht="16.5" customHeight="1">
      <c r="A10" s="49"/>
      <c r="B10" s="49"/>
      <c r="C10" s="49"/>
    </row>
    <row r="11" spans="1:6" ht="16.5" customHeight="1">
      <c r="A11" s="49"/>
      <c r="B11" s="49"/>
      <c r="C11" s="49"/>
    </row>
    <row r="12" spans="1:6" ht="16.5" customHeight="1">
      <c r="A12" s="49"/>
      <c r="B12" s="49"/>
      <c r="C12" s="49"/>
    </row>
    <row r="13" spans="1:6" ht="16.5" customHeight="1">
      <c r="A13" s="49"/>
      <c r="B13" s="49"/>
      <c r="C13" s="49"/>
    </row>
    <row r="14" spans="1:6" ht="16.5" customHeight="1">
      <c r="A14" s="49"/>
      <c r="B14" s="49"/>
      <c r="C14" s="49"/>
    </row>
    <row r="15" spans="1:6" ht="16.5" customHeight="1">
      <c r="A15" s="87" t="s">
        <v>64</v>
      </c>
      <c r="B15" s="87"/>
      <c r="C15" s="87"/>
      <c r="D15" s="87"/>
      <c r="E15" s="87"/>
      <c r="F15" s="87"/>
    </row>
    <row r="17" spans="1:6" ht="16.5" customHeight="1">
      <c r="A17" s="53" t="s">
        <v>65</v>
      </c>
      <c r="B17" s="54" t="s">
        <v>66</v>
      </c>
      <c r="C17" s="54" t="s">
        <v>67</v>
      </c>
      <c r="D17" s="54" t="s">
        <v>3</v>
      </c>
      <c r="E17" s="54" t="s">
        <v>68</v>
      </c>
      <c r="F17" s="55" t="s">
        <v>69</v>
      </c>
    </row>
    <row r="18" spans="1:6" ht="16.5" customHeight="1">
      <c r="A18" s="56">
        <v>0</v>
      </c>
      <c r="B18" s="57">
        <v>100</v>
      </c>
      <c r="C18" s="57">
        <f>$B$4</f>
        <v>0.99998761459394425</v>
      </c>
      <c r="D18" s="57">
        <f>$B$5</f>
        <v>300.00427919993592</v>
      </c>
      <c r="E18" s="57">
        <v>0</v>
      </c>
      <c r="F18" s="58">
        <v>0</v>
      </c>
    </row>
    <row r="19" spans="1:6" ht="16.5" customHeight="1">
      <c r="A19" s="56">
        <f>A18+1</f>
        <v>1</v>
      </c>
      <c r="B19" s="57" cm="1">
        <f t="array" ref="B19:F19">runReactor(B18:F18,$B$2,$B$3,A18,A19,$B$8)</f>
        <v>561.54794252456043</v>
      </c>
      <c r="C19" s="57">
        <v>0.22522272980314301</v>
      </c>
      <c r="D19" s="57">
        <v>400.59077619477705</v>
      </c>
      <c r="E19" s="57">
        <v>2.0004651527193055E-2</v>
      </c>
      <c r="F19" s="58">
        <v>232.70220572620158</v>
      </c>
    </row>
    <row r="20" spans="1:6" ht="16.5" customHeight="1">
      <c r="A20" s="56">
        <f t="shared" ref="A20:A83" si="0">A19+1</f>
        <v>2</v>
      </c>
      <c r="B20" s="57" cm="1">
        <f t="array" ref="B20:F20">runReactor(B19:F19,$B$2,$B$3,A19,A20,$B$8)</f>
        <v>1023.0958850491157</v>
      </c>
      <c r="C20" s="57">
        <v>0.15635330612228371</v>
      </c>
      <c r="D20" s="57">
        <v>410.41195570469648</v>
      </c>
      <c r="E20" s="57">
        <v>2.486761453941385E-2</v>
      </c>
      <c r="F20" s="58">
        <v>527.0766113761124</v>
      </c>
    </row>
    <row r="21" spans="1:6" ht="16.5" customHeight="1">
      <c r="A21" s="56">
        <f t="shared" si="0"/>
        <v>3</v>
      </c>
      <c r="B21" s="57" cm="1">
        <f t="array" ref="B21:F21">runReactor(B20:F20,$B$2,$B$3,A20,A21,$B$8)</f>
        <v>1489.259306998928</v>
      </c>
      <c r="C21" s="57">
        <v>0.13617619224738864</v>
      </c>
      <c r="D21" s="57">
        <v>414.1430345814332</v>
      </c>
      <c r="E21" s="57">
        <v>2.9286269177509934E-2</v>
      </c>
      <c r="F21" s="58">
        <v>903.60052575988482</v>
      </c>
    </row>
    <row r="22" spans="1:6" ht="16.5" customHeight="1">
      <c r="A22" s="56">
        <f t="shared" si="0"/>
        <v>4</v>
      </c>
      <c r="B22" s="57" cm="1">
        <f t="array" ref="B22:F22">runReactor(B21:F21,$B$2,$B$3,A21,A22,$B$8)</f>
        <v>1955.4227289487403</v>
      </c>
      <c r="C22" s="57">
        <v>0.13148629187796149</v>
      </c>
      <c r="D22" s="57">
        <v>416.08627053233329</v>
      </c>
      <c r="E22" s="57">
        <v>3.4086943880826163E-2</v>
      </c>
      <c r="F22" s="58">
        <v>1380.9625736059074</v>
      </c>
    </row>
    <row r="23" spans="1:6" ht="16.5" customHeight="1">
      <c r="A23" s="56">
        <f t="shared" si="0"/>
        <v>5</v>
      </c>
      <c r="B23" s="57" cm="1">
        <f t="array" ref="B23:F23">runReactor(B22:F22,$B$2,$B$3,A22,A23,$B$8)</f>
        <v>2421.5861508985527</v>
      </c>
      <c r="C23" s="57">
        <v>0.1346082526884709</v>
      </c>
      <c r="D23" s="57">
        <v>417.27223611892271</v>
      </c>
      <c r="E23" s="57">
        <v>3.9587230427063316E-2</v>
      </c>
      <c r="F23" s="58">
        <v>1986.1662041203608</v>
      </c>
    </row>
    <row r="24" spans="1:6" ht="16.5" customHeight="1">
      <c r="A24" s="56">
        <f t="shared" si="0"/>
        <v>6</v>
      </c>
      <c r="B24" s="57" cm="1">
        <f t="array" ref="B24:F24">runReactor(B23:F23,$B$2,$B$3,A23,A24,$B$8)</f>
        <v>2887.749572848365</v>
      </c>
      <c r="C24" s="57">
        <v>0.14310772922139933</v>
      </c>
      <c r="D24" s="57">
        <v>418.06561889483925</v>
      </c>
      <c r="E24" s="57">
        <v>4.6020513939810506E-2</v>
      </c>
      <c r="F24" s="58">
        <v>2753.4473458711454</v>
      </c>
    </row>
    <row r="25" spans="1:6" ht="16.5" customHeight="1">
      <c r="A25" s="56">
        <f t="shared" si="0"/>
        <v>7</v>
      </c>
      <c r="B25" s="57" cm="1">
        <f t="array" ref="B25:F25">runReactor(B24:F24,$B$2,$B$3,A24,A25,$B$8)</f>
        <v>3353.9129947981774</v>
      </c>
      <c r="C25" s="57">
        <v>0.15621480657476902</v>
      </c>
      <c r="D25" s="57">
        <v>418.62788156871846</v>
      </c>
      <c r="E25" s="57">
        <v>5.3622363147976151E-2</v>
      </c>
      <c r="F25" s="58">
        <v>3726.2107883802728</v>
      </c>
    </row>
    <row r="26" spans="1:6" ht="16.5" customHeight="1">
      <c r="A26" s="56">
        <f t="shared" si="0"/>
        <v>8</v>
      </c>
      <c r="B26" s="57" cm="1">
        <f t="array" ref="B26:F26">runReactor(B25:F25,$B$2,$B$3,A25,A26,$B$8)</f>
        <v>3820.0764167479897</v>
      </c>
      <c r="C26" s="57">
        <v>0.17388157293839213</v>
      </c>
      <c r="D26" s="57">
        <v>419.0411485758886</v>
      </c>
      <c r="E26" s="57">
        <v>6.2660220106279821E-2</v>
      </c>
      <c r="F26" s="58">
        <v>4959.4854652276517</v>
      </c>
    </row>
    <row r="27" spans="1:6" ht="16.5" customHeight="1">
      <c r="A27" s="56">
        <f t="shared" si="0"/>
        <v>9</v>
      </c>
      <c r="B27" s="57" cm="1">
        <f t="array" ref="B27:F27">runReactor(B26:F26,$B$2,$B$3,A26,A27,$B$8)</f>
        <v>4286.2398386977829</v>
      </c>
      <c r="C27" s="57">
        <v>0.19647212741488651</v>
      </c>
      <c r="D27" s="57">
        <v>419.35122414113016</v>
      </c>
      <c r="E27" s="57">
        <v>7.345112002231334E-2</v>
      </c>
      <c r="F27" s="58">
        <v>6523.0373608602367</v>
      </c>
    </row>
    <row r="28" spans="1:6" ht="16.5" customHeight="1">
      <c r="A28" s="56">
        <f t="shared" si="0"/>
        <v>10</v>
      </c>
      <c r="B28" s="57" cm="1">
        <f t="array" ref="B28:F28">runReactor(B27:F27,$B$2,$B$3,A27,A28,$B$8)</f>
        <v>4752.4032606475494</v>
      </c>
      <c r="C28" s="57">
        <v>0.22465498834275441</v>
      </c>
      <c r="D28" s="57">
        <v>419.58526220463347</v>
      </c>
      <c r="E28" s="57">
        <v>8.6377448468107701E-2</v>
      </c>
      <c r="F28" s="58">
        <v>8505.3160859316777</v>
      </c>
    </row>
    <row r="29" spans="1:6" ht="16.5" customHeight="1">
      <c r="A29" s="56">
        <f t="shared" si="0"/>
        <v>11</v>
      </c>
      <c r="B29" s="57" cm="1">
        <f t="array" ref="B29:F29">runReactor(B28:F28,$B$2,$B$3,A28,A29,$B$8)</f>
        <v>5218.5666825973158</v>
      </c>
      <c r="C29" s="57">
        <v>0.25937620868064187</v>
      </c>
      <c r="D29" s="57">
        <v>419.75993089264722</v>
      </c>
      <c r="E29" s="57">
        <v>0.10190402792178284</v>
      </c>
      <c r="F29" s="58">
        <v>11018.458348491931</v>
      </c>
    </row>
    <row r="30" spans="1:6" ht="16.5" customHeight="1">
      <c r="A30" s="56">
        <f t="shared" si="0"/>
        <v>12</v>
      </c>
      <c r="B30" s="57" cm="1">
        <f t="array" ref="B30:F30">runReactor(B29:F29,$B$2,$B$3,A29,A30,$B$8)</f>
        <v>5684.7301045470822</v>
      </c>
      <c r="C30" s="57">
        <v>0.30187253510285417</v>
      </c>
      <c r="D30" s="57">
        <v>419.88551925338106</v>
      </c>
      <c r="E30" s="57">
        <v>0.12059817355180709</v>
      </c>
      <c r="F30" s="58">
        <v>14204.631335047776</v>
      </c>
    </row>
    <row r="31" spans="1:6" ht="16.5" customHeight="1">
      <c r="A31" s="56">
        <f t="shared" si="0"/>
        <v>13</v>
      </c>
      <c r="B31" s="57" cm="1">
        <f t="array" ref="B31:F31">runReactor(B30:F30,$B$2,$B$3,A30,A31,$B$8)</f>
        <v>6150.8935264968486</v>
      </c>
      <c r="C31" s="57">
        <v>0.35371000355413051</v>
      </c>
      <c r="D31" s="57">
        <v>419.96812888086623</v>
      </c>
      <c r="E31" s="57">
        <v>0.14315395857375224</v>
      </c>
      <c r="F31" s="58">
        <v>18244.074801142182</v>
      </c>
    </row>
    <row r="32" spans="1:6" ht="16.5" customHeight="1">
      <c r="A32" s="56">
        <f t="shared" si="0"/>
        <v>14</v>
      </c>
      <c r="B32" s="57" cm="1">
        <f t="array" ref="B32:F32">runReactor(B31:F31,$B$2,$B$3,A31,A32,$B$8)</f>
        <v>6617.056948446615</v>
      </c>
      <c r="C32" s="57">
        <v>0.41684324832889014</v>
      </c>
      <c r="D32" s="57">
        <v>420.01088298265682</v>
      </c>
      <c r="E32" s="57">
        <v>0.17042193129818159</v>
      </c>
      <c r="F32" s="58">
        <v>23365.296743252129</v>
      </c>
    </row>
    <row r="33" spans="1:6" ht="16.5" customHeight="1">
      <c r="A33" s="56">
        <f t="shared" si="0"/>
        <v>15</v>
      </c>
      <c r="B33" s="57" cm="1">
        <f t="array" ref="B33:F33">runReactor(B32:F32,$B$2,$B$3,A32,A33,$B$8)</f>
        <v>7083.2203703963814</v>
      </c>
      <c r="C33" s="57">
        <v>0.49369524453569424</v>
      </c>
      <c r="D33" s="57">
        <v>420.01459148981701</v>
      </c>
      <c r="E33" s="57">
        <v>0.20344570201291806</v>
      </c>
      <c r="F33" s="58">
        <v>29857.999313275584</v>
      </c>
    </row>
    <row r="34" spans="1:6" ht="16.5" customHeight="1">
      <c r="A34" s="56">
        <f t="shared" si="0"/>
        <v>16</v>
      </c>
      <c r="B34" s="57" cm="1">
        <f t="array" ref="B34:F34">runReactor(B33:F33,$B$2,$B$3,A33,A34,$B$8)</f>
        <v>7549.3837923461479</v>
      </c>
      <c r="C34" s="57">
        <v>0.58725966885451741</v>
      </c>
      <c r="D34" s="57">
        <v>419.97809061513465</v>
      </c>
      <c r="E34" s="57">
        <v>0.24350710454034766</v>
      </c>
      <c r="F34" s="58">
        <v>38089.466025675487</v>
      </c>
    </row>
    <row r="35" spans="1:6" ht="16.5" customHeight="1">
      <c r="A35" s="56">
        <f t="shared" si="0"/>
        <v>17</v>
      </c>
      <c r="B35" s="57" cm="1">
        <f t="array" ref="B35:F35">runReactor(B34:F34,$B$2,$B$3,A34,A35,$B$8)</f>
        <v>8010.9317348706691</v>
      </c>
      <c r="C35" s="57">
        <v>0.69998737965584223</v>
      </c>
      <c r="D35" s="57">
        <v>419.89938488918875</v>
      </c>
      <c r="E35" s="57">
        <v>0.29165190640388972</v>
      </c>
      <c r="F35" s="58">
        <v>48409.404692577904</v>
      </c>
    </row>
    <row r="36" spans="1:6" ht="16.5" customHeight="1">
      <c r="A36" s="56">
        <f t="shared" si="0"/>
        <v>18</v>
      </c>
      <c r="B36" s="57" cm="1">
        <f t="array" ref="B36:F36">runReactor(B35:F35,$B$2,$B$3,A35,A36,$B$8)</f>
        <v>8472.4796773951912</v>
      </c>
      <c r="C36" s="57">
        <v>0.83713234134873471</v>
      </c>
      <c r="D36" s="57">
        <v>419.7735804129008</v>
      </c>
      <c r="E36" s="57">
        <v>0.35011976738703821</v>
      </c>
      <c r="F36" s="58">
        <v>61462.333920032004</v>
      </c>
    </row>
    <row r="37" spans="1:6" ht="16.5" customHeight="1">
      <c r="A37" s="56">
        <f t="shared" si="0"/>
        <v>19</v>
      </c>
      <c r="B37" s="57" cm="1">
        <f t="array" ref="B37:F37">runReactor(B36:F36,$B$2,$B$3,A36,A37,$B$8)</f>
        <v>8934.0276199197124</v>
      </c>
      <c r="C37" s="57">
        <v>1.0041268703614104</v>
      </c>
      <c r="D37" s="57">
        <v>419.5939947513055</v>
      </c>
      <c r="E37" s="57">
        <v>0.421220712313157</v>
      </c>
      <c r="F37" s="58">
        <v>77972.007296391283</v>
      </c>
    </row>
    <row r="38" spans="1:6" ht="16.5" customHeight="1">
      <c r="A38" s="56">
        <f t="shared" si="0"/>
        <v>20</v>
      </c>
      <c r="B38" s="57" cm="1">
        <f t="array" ref="B38:F38">runReactor(B37:F37,$B$2,$B$3,A37,A38,$B$8)</f>
        <v>9395.5755624442336</v>
      </c>
      <c r="C38" s="57">
        <v>1.2076566184578992</v>
      </c>
      <c r="D38" s="57">
        <v>419.35173777919141</v>
      </c>
      <c r="E38" s="57">
        <v>0.50779542152160839</v>
      </c>
      <c r="F38" s="58">
        <v>98853.835681714088</v>
      </c>
    </row>
    <row r="39" spans="1:6" ht="16.5" customHeight="1">
      <c r="A39" s="56">
        <f t="shared" si="0"/>
        <v>21</v>
      </c>
      <c r="B39" s="57" cm="1">
        <f t="array" ref="B39:F39">runReactor(B38:F38,$B$2,$B$3,A38,A39,$B$8)</f>
        <v>9857.1235049687548</v>
      </c>
      <c r="C39" s="57">
        <v>1.4559528773280983</v>
      </c>
      <c r="D39" s="57">
        <v>419.03533991256558</v>
      </c>
      <c r="E39" s="57">
        <v>0.61333950597219467</v>
      </c>
      <c r="F39" s="58">
        <v>125265.63555177211</v>
      </c>
    </row>
    <row r="40" spans="1:6" ht="16.5" customHeight="1">
      <c r="A40" s="56">
        <f t="shared" si="0"/>
        <v>22</v>
      </c>
      <c r="B40" s="57" cm="1">
        <f t="array" ref="B40:F40">runReactor(B39:F39,$B$2,$B$3,A39,A40,$B$8)</f>
        <v>10318.671447493276</v>
      </c>
      <c r="C40" s="57">
        <v>1.7591545656627881</v>
      </c>
      <c r="D40" s="57">
        <v>418.63025536602521</v>
      </c>
      <c r="E40" s="57">
        <v>0.74215728739580622</v>
      </c>
      <c r="F40" s="58">
        <v>158671.81236156868</v>
      </c>
    </row>
    <row r="41" spans="1:6" ht="16.5" customHeight="1">
      <c r="A41" s="56">
        <f t="shared" si="0"/>
        <v>23</v>
      </c>
      <c r="B41" s="57" cm="1">
        <f t="array" ref="B41:F41">runReactor(B40:F40,$B$2,$B$3,A40,A41,$B$8)</f>
        <v>10780.219390017797</v>
      </c>
      <c r="C41" s="57">
        <v>2.1297565368032529</v>
      </c>
      <c r="D41" s="57">
        <v>418.11822095243241</v>
      </c>
      <c r="E41" s="57">
        <v>0.89955216818166972</v>
      </c>
      <c r="F41" s="58">
        <v>200924.53429316927</v>
      </c>
    </row>
    <row r="42" spans="1:6" ht="16.5" customHeight="1">
      <c r="A42" s="56">
        <f t="shared" si="0"/>
        <v>24</v>
      </c>
      <c r="B42" s="57" cm="1">
        <f t="array" ref="B42:F42">runReactor(B41:F41,$B$2,$B$3,A41,A42,$B$8)</f>
        <v>11241.767332542318</v>
      </c>
      <c r="C42" s="57">
        <v>2.5831648940965874</v>
      </c>
      <c r="D42" s="57">
        <v>417.47644289890752</v>
      </c>
      <c r="E42" s="57">
        <v>1.0920623900570943</v>
      </c>
      <c r="F42" s="58">
        <v>254366.39182745284</v>
      </c>
    </row>
    <row r="43" spans="1:6" ht="16.5" customHeight="1">
      <c r="A43" s="56">
        <f t="shared" si="0"/>
        <v>25</v>
      </c>
      <c r="B43" s="57" cm="1">
        <f t="array" ref="B43:F43">runReactor(B42:F42,$B$2,$B$3,A42,A43,$B$8)</f>
        <v>11703.31527506684</v>
      </c>
      <c r="C43" s="57">
        <v>3.1383850248447782</v>
      </c>
      <c r="D43" s="57">
        <v>416.67657530148301</v>
      </c>
      <c r="E43" s="57">
        <v>1.3277531126281792</v>
      </c>
      <c r="F43" s="58">
        <v>321960.22675800975</v>
      </c>
    </row>
    <row r="44" spans="1:6" ht="16.5" customHeight="1">
      <c r="A44" s="56">
        <f t="shared" si="0"/>
        <v>26</v>
      </c>
      <c r="B44" s="57" cm="1">
        <f t="array" ref="B44:F44">runReactor(B43:F43,$B$2,$B$3,A43,A44,$B$8)</f>
        <v>12164.863217591361</v>
      </c>
      <c r="C44" s="57">
        <v>3.818874302214033</v>
      </c>
      <c r="D44" s="57">
        <v>415.68344355890736</v>
      </c>
      <c r="E44" s="57">
        <v>1.6165783944228149</v>
      </c>
      <c r="F44" s="58">
        <v>407453.31575306726</v>
      </c>
    </row>
    <row r="45" spans="1:6" ht="16.5" customHeight="1">
      <c r="A45" s="56">
        <f t="shared" si="0"/>
        <v>27</v>
      </c>
      <c r="B45" s="57" cm="1">
        <f t="array" ref="B45:F45">runReactor(B44:F44,$B$2,$B$3,A44,A45,$B$8)</f>
        <v>12626.411160115882</v>
      </c>
      <c r="C45" s="57">
        <v>4.6535991540620074</v>
      </c>
      <c r="D45" s="57">
        <v>414.45345380932133</v>
      </c>
      <c r="E45" s="57">
        <v>1.9708299569716174</v>
      </c>
      <c r="F45" s="58">
        <v>515584.99054130958</v>
      </c>
    </row>
    <row r="46" spans="1:6" ht="16.5" customHeight="1">
      <c r="A46" s="56">
        <f t="shared" si="0"/>
        <v>28</v>
      </c>
      <c r="B46" s="57" cm="1">
        <f t="array" ref="B46:F46">runReactor(B45:F45,$B$2,$B$3,A45,A46,$B$8)</f>
        <v>13087.959102640403</v>
      </c>
      <c r="C46" s="57">
        <v>5.6783458246914131</v>
      </c>
      <c r="D46" s="57">
        <v>412.93261438859548</v>
      </c>
      <c r="E46" s="57">
        <v>2.4056937142333505</v>
      </c>
      <c r="F46" s="58">
        <v>652349.17269721185</v>
      </c>
    </row>
    <row r="47" spans="1:6" ht="16.5" customHeight="1">
      <c r="A47" s="56">
        <f t="shared" si="0"/>
        <v>29</v>
      </c>
      <c r="B47" s="57" cm="1">
        <f t="array" ref="B47:F47">runReactor(B46:F46,$B$2,$B$3,A46,A47,$B$8)</f>
        <v>13549.507045164924</v>
      </c>
      <c r="C47" s="57">
        <v>6.9373461124421221</v>
      </c>
      <c r="D47" s="57">
        <v>411.05407688478334</v>
      </c>
      <c r="E47" s="57">
        <v>2.9399401509713927</v>
      </c>
      <c r="F47" s="58">
        <v>825326.32587441988</v>
      </c>
    </row>
    <row r="48" spans="1:6" ht="16.5" customHeight="1">
      <c r="A48" s="56">
        <f t="shared" si="0"/>
        <v>30</v>
      </c>
      <c r="B48" s="57" cm="1">
        <f t="array" ref="B48:F48">runReactor(B47:F47,$B$2,$B$3,A47,A48,$B$8)</f>
        <v>14011.054987689446</v>
      </c>
      <c r="C48" s="57">
        <v>8.4852942101345139</v>
      </c>
      <c r="D48" s="57">
        <v>408.73508158608513</v>
      </c>
      <c r="E48" s="57">
        <v>3.596780977177676</v>
      </c>
      <c r="F48" s="58">
        <v>1044103.1453383907</v>
      </c>
    </row>
    <row r="49" spans="1:6" ht="16.5" customHeight="1">
      <c r="A49" s="56">
        <f t="shared" si="0"/>
        <v>31</v>
      </c>
      <c r="B49" s="57" cm="1">
        <f t="array" ref="B49:F49">runReactor(B48:F48,$B$2,$B$3,A48,A49,$B$8)</f>
        <v>14472.602930213967</v>
      </c>
      <c r="C49" s="57">
        <v>10.389849190651159</v>
      </c>
      <c r="D49" s="57">
        <v>405.87316393085979</v>
      </c>
      <c r="E49" s="57">
        <v>4.404932371754704</v>
      </c>
      <c r="F49" s="58">
        <v>1320803.1179188159</v>
      </c>
    </row>
    <row r="50" spans="1:6" ht="16.5" customHeight="1">
      <c r="A50" s="56">
        <f t="shared" si="0"/>
        <v>32</v>
      </c>
      <c r="B50" s="57" cm="1">
        <f t="array" ref="B50:F50">runReactor(B49:F49,$B$2,$B$3,A49,A50,$B$8)</f>
        <v>14934.150872738488</v>
      </c>
      <c r="C50" s="57">
        <v>12.734740500694958</v>
      </c>
      <c r="D50" s="57">
        <v>402.34144365741497</v>
      </c>
      <c r="E50" s="57">
        <v>5.3999349284236313</v>
      </c>
      <c r="F50" s="58">
        <v>1670757.1494306705</v>
      </c>
    </row>
    <row r="51" spans="1:6" ht="16.5" customHeight="1">
      <c r="A51" s="56">
        <f t="shared" si="0"/>
        <v>33</v>
      </c>
      <c r="B51" s="57" cm="1">
        <f t="array" ref="B51:F51">runReactor(B50:F50,$B$2,$B$3,A50,A51,$B$8)</f>
        <v>15400.314294688254</v>
      </c>
      <c r="C51" s="57">
        <v>15.655668871838726</v>
      </c>
      <c r="D51" s="57">
        <v>397.93438931843667</v>
      </c>
      <c r="E51" s="57">
        <v>6.6393914178173921</v>
      </c>
      <c r="F51" s="58">
        <v>2118322.8715431085</v>
      </c>
    </row>
    <row r="52" spans="1:6" ht="16.5" customHeight="1">
      <c r="A52" s="56">
        <f t="shared" si="0"/>
        <v>34</v>
      </c>
      <c r="B52" s="57" cm="1">
        <f t="array" ref="B52:F52">runReactor(B51:F51,$B$2,$B$3,A51,A52,$B$8)</f>
        <v>15866.477716638021</v>
      </c>
      <c r="C52" s="57">
        <v>19.263971602947517</v>
      </c>
      <c r="D52" s="57">
        <v>392.48288967363425</v>
      </c>
      <c r="E52" s="57">
        <v>8.1705817948771955</v>
      </c>
      <c r="F52" s="58">
        <v>2685686.7329541682</v>
      </c>
    </row>
    <row r="53" spans="1:6" ht="16.5" customHeight="1">
      <c r="A53" s="56">
        <f t="shared" si="0"/>
        <v>35</v>
      </c>
      <c r="B53" s="57" cm="1">
        <f t="array" ref="B53:F53">runReactor(B52:F52,$B$2,$B$3,A52,A53,$B$8)</f>
        <v>16332.641138587787</v>
      </c>
      <c r="C53" s="57">
        <v>23.724017629913732</v>
      </c>
      <c r="D53" s="57">
        <v>385.73758416711144</v>
      </c>
      <c r="E53" s="57">
        <v>10.063313532893869</v>
      </c>
      <c r="F53" s="58">
        <v>3404894.5777019942</v>
      </c>
    </row>
    <row r="54" spans="1:6" ht="16.5" customHeight="1">
      <c r="A54" s="56">
        <f t="shared" si="0"/>
        <v>36</v>
      </c>
      <c r="B54" s="57" cm="1">
        <f t="array" ref="B54:F54">runReactor(B53:F53,$B$2,$B$3,A53,A54,$B$8)</f>
        <v>16798.804560537716</v>
      </c>
      <c r="C54" s="57">
        <v>29.239902584543472</v>
      </c>
      <c r="D54" s="57">
        <v>377.3887570788782</v>
      </c>
      <c r="E54" s="57">
        <v>12.404291767239615</v>
      </c>
      <c r="F54" s="58">
        <v>4316552.0599698536</v>
      </c>
    </row>
    <row r="55" spans="1:6" ht="16.5" customHeight="1">
      <c r="A55" s="56">
        <f t="shared" si="0"/>
        <v>37</v>
      </c>
      <c r="B55" s="57" cm="1">
        <f t="array" ref="B55:F55">runReactor(B54:F54,$B$2,$B$3,A54,A55,$B$8)</f>
        <v>17264.967982487666</v>
      </c>
      <c r="C55" s="57">
        <v>36.06509858512247</v>
      </c>
      <c r="D55" s="57">
        <v>367.05165532346018</v>
      </c>
      <c r="E55" s="57">
        <v>15.301239933637037</v>
      </c>
      <c r="F55" s="58">
        <v>5472102.9099816252</v>
      </c>
    </row>
    <row r="56" spans="1:6" ht="16.5" customHeight="1">
      <c r="A56" s="56">
        <f t="shared" si="0"/>
        <v>38</v>
      </c>
      <c r="B56" s="57" cm="1">
        <f t="array" ref="B56:F56">runReactor(B55:F55,$B$2,$B$3,A55,A56,$B$8)</f>
        <v>17731.131404437616</v>
      </c>
      <c r="C56" s="57">
        <v>44.514434769697424</v>
      </c>
      <c r="D56" s="57">
        <v>354.24824061931838</v>
      </c>
      <c r="E56" s="57">
        <v>18.8880268670543</v>
      </c>
      <c r="F56" s="58">
        <v>6936707.6816001227</v>
      </c>
    </row>
    <row r="57" spans="1:6" ht="16.5" customHeight="1">
      <c r="A57" s="56">
        <f t="shared" si="0"/>
        <v>39</v>
      </c>
      <c r="B57" s="57" cm="1">
        <f t="array" ref="B57:F57">runReactor(B56:F56,$B$2,$B$3,A56,A57,$B$8)</f>
        <v>18197.294826387566</v>
      </c>
      <c r="C57" s="57">
        <v>54.978949244704623</v>
      </c>
      <c r="D57" s="57">
        <v>338.3845336289138</v>
      </c>
      <c r="E57" s="57">
        <v>23.331043065990247</v>
      </c>
      <c r="F57" s="58">
        <v>8792876.3110009637</v>
      </c>
    </row>
    <row r="58" spans="1:6" ht="16.5" customHeight="1">
      <c r="A58" s="56">
        <f t="shared" si="0"/>
        <v>40</v>
      </c>
      <c r="B58" s="57" cm="1">
        <f t="array" ref="B58:F58">runReactor(B57:F57,$B$2,$B$3,A57,A58,$B$8)</f>
        <v>18663.458248337516</v>
      </c>
      <c r="C58" s="57">
        <v>67.94425261147326</v>
      </c>
      <c r="D58" s="57">
        <v>318.72253615745166</v>
      </c>
      <c r="E58" s="57">
        <v>28.837123375600402</v>
      </c>
      <c r="F58" s="58">
        <v>11145041.859477922</v>
      </c>
    </row>
    <row r="59" spans="1:6" ht="16.5" customHeight="1">
      <c r="A59" s="56">
        <f t="shared" si="0"/>
        <v>41</v>
      </c>
      <c r="B59" s="57" cm="1">
        <f t="array" ref="B59:F59">runReactor(B58:F58,$B$2,$B$3,A58,A59,$B$8)</f>
        <v>19129.621670287466</v>
      </c>
      <c r="C59" s="57">
        <v>84.013124242065388</v>
      </c>
      <c r="D59" s="57">
        <v>294.34554895333196</v>
      </c>
      <c r="E59" s="57">
        <v>35.663375094852057</v>
      </c>
      <c r="F59" s="58">
        <v>14125297.418540815</v>
      </c>
    </row>
    <row r="60" spans="1:6" ht="16.5" customHeight="1">
      <c r="A60" s="56">
        <f t="shared" si="0"/>
        <v>42</v>
      </c>
      <c r="B60" s="57" cm="1">
        <f t="array" ref="B60:F60">runReactor(B59:F59,$B$2,$B$3,A59,A60,$B$8)</f>
        <v>19595.785092237416</v>
      </c>
      <c r="C60" s="57">
        <v>103.93304691850312</v>
      </c>
      <c r="D60" s="57">
        <v>264.11561315664852</v>
      </c>
      <c r="E60" s="57">
        <v>44.129331767945793</v>
      </c>
      <c r="F60" s="58">
        <v>17900539.115334988</v>
      </c>
    </row>
    <row r="61" spans="1:6" ht="16.5" customHeight="1">
      <c r="A61" s="56">
        <f t="shared" si="0"/>
        <v>43</v>
      </c>
      <c r="B61" s="57" cm="1">
        <f t="array" ref="B61:F61">runReactor(B60:F60,$B$2,$B$3,A60,A61,$B$8)</f>
        <v>20061.948514187367</v>
      </c>
      <c r="C61" s="57">
        <v>128.62899781486024</v>
      </c>
      <c r="D61" s="57">
        <v>226.62206570708577</v>
      </c>
      <c r="E61" s="57">
        <v>54.631883948571499</v>
      </c>
      <c r="F61" s="58">
        <v>22681212.931485493</v>
      </c>
    </row>
    <row r="62" spans="1:6" ht="16.5" customHeight="1">
      <c r="A62" s="56">
        <f t="shared" si="0"/>
        <v>44</v>
      </c>
      <c r="B62" s="57" cm="1">
        <f t="array" ref="B62:F62">runReactor(B61:F61,$B$2,$B$3,A61,A62,$B$8)</f>
        <v>20528.111936137317</v>
      </c>
      <c r="C62" s="57">
        <v>159.23988503079184</v>
      </c>
      <c r="D62" s="57">
        <v>180.12196218764359</v>
      </c>
      <c r="E62" s="57">
        <v>67.663317706713087</v>
      </c>
      <c r="F62" s="58">
        <v>28731525.454363503</v>
      </c>
    </row>
    <row r="63" spans="1:6" ht="16.5" customHeight="1">
      <c r="A63" s="56">
        <f t="shared" si="0"/>
        <v>45</v>
      </c>
      <c r="B63" s="57" cm="1">
        <f t="array" ref="B63:F63">runReactor(B62:F62,$B$2,$B$3,A62,A63,$B$8)</f>
        <v>20994.275358087267</v>
      </c>
      <c r="C63" s="57">
        <v>197.14666777757762</v>
      </c>
      <c r="D63" s="57">
        <v>122.48302567999804</v>
      </c>
      <c r="E63" s="57">
        <v>83.83187922422394</v>
      </c>
      <c r="F63" s="58">
        <v>36379015.76727844</v>
      </c>
    </row>
    <row r="64" spans="1:6" ht="16.5" customHeight="1">
      <c r="A64" s="56">
        <f t="shared" si="0"/>
        <v>46</v>
      </c>
      <c r="B64" s="57" cm="1">
        <f t="array" ref="B64:F64">runReactor(B63:F63,$B$2,$B$3,A63,A64,$B$8)</f>
        <v>21460.438780037217</v>
      </c>
      <c r="C64" s="57">
        <v>243.88176887509334</v>
      </c>
      <c r="D64" s="57">
        <v>51.232622260926739</v>
      </c>
      <c r="E64" s="57">
        <v>103.87641529924807</v>
      </c>
      <c r="F64" s="58">
        <v>46002426.882301226</v>
      </c>
    </row>
    <row r="65" spans="1:6" ht="16.5" customHeight="1">
      <c r="A65" s="56">
        <f t="shared" si="0"/>
        <v>47</v>
      </c>
      <c r="B65" s="57" cm="1">
        <f t="array" ref="B65:F65">runReactor(B64:F64,$B$2,$B$3,A64,A65,$B$8)</f>
        <v>21926.602201987167</v>
      </c>
      <c r="C65" s="57">
        <v>261.44552996878923</v>
      </c>
      <c r="D65" s="57">
        <v>-0.33432303199763203</v>
      </c>
      <c r="E65" s="57">
        <v>126.28782615200493</v>
      </c>
      <c r="F65" s="58">
        <v>50386720.283166684</v>
      </c>
    </row>
    <row r="66" spans="1:6" ht="16.5" customHeight="1">
      <c r="A66" s="56">
        <f t="shared" si="0"/>
        <v>48</v>
      </c>
      <c r="B66" s="57" cm="1">
        <f t="array" ref="B66:F66">runReactor(B65:F65,$B$2,$B$3,A65,A66,$B$8)</f>
        <v>22392.765623937117</v>
      </c>
      <c r="C66" s="57">
        <v>224.78954606241871</v>
      </c>
      <c r="D66" s="57">
        <v>-0.32509216569906907</v>
      </c>
      <c r="E66" s="57">
        <v>144.10402545428528</v>
      </c>
      <c r="F66" s="58">
        <v>44243179.029378042</v>
      </c>
    </row>
    <row r="67" spans="1:6" ht="16.5" customHeight="1">
      <c r="A67" s="56">
        <f t="shared" si="0"/>
        <v>49</v>
      </c>
      <c r="B67" s="57" cm="1">
        <f t="array" ref="B67:F67">runReactor(B66:F66,$B$2,$B$3,A66,A67,$B$8)</f>
        <v>22858.929045887067</v>
      </c>
      <c r="C67" s="57">
        <v>194.44974939244423</v>
      </c>
      <c r="D67" s="57">
        <v>-0.31478430729108048</v>
      </c>
      <c r="E67" s="57">
        <v>158.84962900666216</v>
      </c>
      <c r="F67" s="58">
        <v>39068308.166214094</v>
      </c>
    </row>
    <row r="68" spans="1:6" ht="16.5" customHeight="1">
      <c r="A68" s="56">
        <f t="shared" si="0"/>
        <v>50</v>
      </c>
      <c r="B68" s="57" cm="1">
        <f t="array" ref="B68:F68">runReactor(B67:F67,$B$2,$B$3,A67,A68,$B$8)</f>
        <v>23325.092467837017</v>
      </c>
      <c r="C68" s="57">
        <v>169.30243246627344</v>
      </c>
      <c r="D68" s="57">
        <v>-0.30336618845435465</v>
      </c>
      <c r="E68" s="57">
        <v>171.07075561904762</v>
      </c>
      <c r="F68" s="58">
        <v>34709366.114777476</v>
      </c>
    </row>
    <row r="69" spans="1:6" ht="16.5" customHeight="1">
      <c r="A69" s="56">
        <f t="shared" si="0"/>
        <v>51</v>
      </c>
      <c r="B69" s="57" cm="1">
        <f t="array" ref="B69:F69">runReactor(B68:F68,$B$2,$B$3,A68,A69,$B$8)</f>
        <v>23791.255889786968</v>
      </c>
      <c r="C69" s="57">
        <v>148.42707366808702</v>
      </c>
      <c r="D69" s="57">
        <v>-0.29083294906091656</v>
      </c>
      <c r="E69" s="57">
        <v>181.21479148509852</v>
      </c>
      <c r="F69" s="58">
        <v>31037683.676557198</v>
      </c>
    </row>
    <row r="70" spans="1:6" ht="16.5" customHeight="1">
      <c r="A70" s="56">
        <f t="shared" si="0"/>
        <v>52</v>
      </c>
      <c r="B70" s="57" cm="1">
        <f t="array" ref="B70:F70">runReactor(B69:F69,$B$2,$B$3,A69,A70,$B$8)</f>
        <v>24257.419311736918</v>
      </c>
      <c r="C70" s="57">
        <v>131.06904800471972</v>
      </c>
      <c r="D70" s="57">
        <v>-0.27721474140869312</v>
      </c>
      <c r="E70" s="57">
        <v>189.6485168493021</v>
      </c>
      <c r="F70" s="58">
        <v>27944876.120712399</v>
      </c>
    </row>
    <row r="71" spans="1:6" ht="16.5" customHeight="1">
      <c r="A71" s="56">
        <f t="shared" si="0"/>
        <v>53</v>
      </c>
      <c r="B71" s="57" cm="1">
        <f t="array" ref="B71:F71">runReactor(B70:F70,$B$2,$B$3,A70,A71,$B$8)</f>
        <v>24723.582733686868</v>
      </c>
      <c r="C71" s="57">
        <v>116.60929826919678</v>
      </c>
      <c r="D71" s="57">
        <v>-0.26258190474836662</v>
      </c>
      <c r="E71" s="57">
        <v>196.67284903892673</v>
      </c>
      <c r="F71" s="58">
        <v>25339651.11355507</v>
      </c>
    </row>
    <row r="72" spans="1:6" ht="16.5" customHeight="1">
      <c r="A72" s="56">
        <f t="shared" si="0"/>
        <v>54</v>
      </c>
      <c r="B72" s="57" cm="1">
        <f t="array" ref="B72:F72">runReactor(B71:F71,$B$2,$B$3,A71,A72,$B$8)</f>
        <v>25189.746155636818</v>
      </c>
      <c r="C72" s="57">
        <v>104.53963997112805</v>
      </c>
      <c r="D72" s="57">
        <v>-0.24704774965916543</v>
      </c>
      <c r="E72" s="57">
        <v>202.53484603870825</v>
      </c>
      <c r="F72" s="58">
        <v>23145118.395794317</v>
      </c>
    </row>
    <row r="73" spans="1:6" ht="16.5" customHeight="1">
      <c r="A73" s="56">
        <f t="shared" si="0"/>
        <v>55</v>
      </c>
      <c r="B73" s="57" cm="1">
        <f t="array" ref="B73:F73">runReactor(B72:F72,$B$2,$B$3,A72,A73,$B$8)</f>
        <v>25655.909577586768</v>
      </c>
      <c r="C73" s="57">
        <v>94.442632289380384</v>
      </c>
      <c r="D73" s="57">
        <v>-0.23076809403955778</v>
      </c>
      <c r="E73" s="57">
        <v>207.43748901878152</v>
      </c>
      <c r="F73" s="58">
        <v>21296522.011422426</v>
      </c>
    </row>
    <row r="74" spans="1:6" ht="16.5" customHeight="1">
      <c r="A74" s="56">
        <f t="shared" si="0"/>
        <v>56</v>
      </c>
      <c r="B74" s="57" cm="1">
        <f t="array" ref="B74:F74">runReactor(B73:F73,$B$2,$B$3,A73,A74,$B$8)</f>
        <v>26122.072999536718</v>
      </c>
      <c r="C74" s="57">
        <v>85.975154377619319</v>
      </c>
      <c r="D74" s="57">
        <v>-0.21393700405406219</v>
      </c>
      <c r="E74" s="57">
        <v>211.547661774549</v>
      </c>
      <c r="F74" s="58">
        <v>19739328.437443983</v>
      </c>
    </row>
    <row r="75" spans="1:6" ht="16.5" customHeight="1">
      <c r="A75" s="56">
        <f t="shared" si="0"/>
        <v>57</v>
      </c>
      <c r="B75" s="57" cm="1">
        <f t="array" ref="B75:F75">runReactor(B74:F74,$B$2,$B$3,A74,A75,$B$8)</f>
        <v>26588.236421486668</v>
      </c>
      <c r="C75" s="57">
        <v>78.854992412119287</v>
      </c>
      <c r="D75" s="57">
        <v>-0.1967786961272884</v>
      </c>
      <c r="E75" s="57">
        <v>215.00266463406197</v>
      </c>
      <c r="F75" s="58">
        <v>18427614.559649602</v>
      </c>
    </row>
    <row r="76" spans="1:6" ht="16.5" customHeight="1">
      <c r="A76" s="56">
        <f t="shared" si="0"/>
        <v>58</v>
      </c>
      <c r="B76" s="57" cm="1">
        <f t="array" ref="B76:F76">runReactor(B75:F75,$B$2,$B$3,A75,A76,$B$8)</f>
        <v>27054.399843436619</v>
      </c>
      <c r="C76" s="57">
        <v>72.849876192680185</v>
      </c>
      <c r="D76" s="57">
        <v>-0.1795361650877963</v>
      </c>
      <c r="E76" s="57">
        <v>217.91553591091341</v>
      </c>
      <c r="F76" s="58">
        <v>17322708.398218036</v>
      </c>
    </row>
    <row r="77" spans="1:6" ht="16.5" customHeight="1">
      <c r="A77" s="56">
        <f t="shared" si="0"/>
        <v>59</v>
      </c>
      <c r="B77" s="57" cm="1">
        <f t="array" ref="B77:F77">runReactor(B76:F76,$B$2,$B$3,A76,A77,$B$8)</f>
        <v>27520.563265386569</v>
      </c>
      <c r="C77" s="57">
        <v>67.768511402858238</v>
      </c>
      <c r="D77" s="57">
        <v>-0.16245768136355049</v>
      </c>
      <c r="E77" s="57">
        <v>220.37940218164158</v>
      </c>
      <c r="F77" s="58">
        <v>16392043.045863291</v>
      </c>
    </row>
    <row r="78" spans="1:6" ht="16.5" customHeight="1">
      <c r="A78" s="56">
        <f t="shared" si="0"/>
        <v>60</v>
      </c>
      <c r="B78" s="57" cm="1">
        <f t="array" ref="B78:F78">runReactor(B77:F77,$B$2,$B$3,A77,A78,$B$8)</f>
        <v>27986.726687336519</v>
      </c>
      <c r="C78" s="57">
        <v>63.453239912082125</v>
      </c>
      <c r="D78" s="57">
        <v>-0.1457826970636325</v>
      </c>
      <c r="E78" s="57">
        <v>222.47103697436586</v>
      </c>
      <c r="F78" s="58">
        <v>15608190.626341142</v>
      </c>
    </row>
    <row r="79" spans="1:6" ht="16.5" customHeight="1">
      <c r="A79" s="56">
        <f t="shared" si="0"/>
        <v>61</v>
      </c>
      <c r="B79" s="57" cm="1">
        <f t="array" ref="B79:F79">runReactor(B78:F78,$B$2,$B$3,A78,A79,$B$8)</f>
        <v>28452.890109286469</v>
      </c>
      <c r="C79" s="57">
        <v>59.774029831799432</v>
      </c>
      <c r="D79" s="57">
        <v>-0.12972880742349938</v>
      </c>
      <c r="E79" s="57">
        <v>224.25377382509907</v>
      </c>
      <c r="F79" s="58">
        <v>14948048.369576948</v>
      </c>
    </row>
    <row r="80" spans="1:6" ht="16.5" customHeight="1">
      <c r="A80" s="56">
        <f t="shared" si="0"/>
        <v>62</v>
      </c>
      <c r="B80" s="57" cm="1">
        <f t="array" ref="B80:F80">runReactor(B79:F79,$B$2,$B$3,A79,A80,$B$8)</f>
        <v>28919.053531236419</v>
      </c>
      <c r="C80" s="57">
        <v>56.623552731932797</v>
      </c>
      <c r="D80" s="57">
        <v>-0.11448120220930448</v>
      </c>
      <c r="E80" s="57">
        <v>225.7798924636129</v>
      </c>
      <c r="F80" s="58">
        <v>14392153.278803965</v>
      </c>
    </row>
    <row r="81" spans="1:6" ht="16.5" customHeight="1">
      <c r="A81" s="56">
        <f t="shared" si="0"/>
        <v>63</v>
      </c>
      <c r="B81" s="57" cm="1">
        <f t="array" ref="B81:F81">runReactor(B80:F80,$B$2,$B$3,A80,A81,$B$8)</f>
        <v>29385.216953186369</v>
      </c>
      <c r="C81" s="57">
        <v>53.913150213139566</v>
      </c>
      <c r="D81" s="57">
        <v>-0.10018557399691327</v>
      </c>
      <c r="E81" s="57">
        <v>227.09257484249497</v>
      </c>
      <c r="F81" s="58">
        <v>13924105.481460372</v>
      </c>
    </row>
    <row r="82" spans="1:6" ht="16.5" customHeight="1">
      <c r="A82" s="56">
        <f t="shared" si="0"/>
        <v>64</v>
      </c>
      <c r="B82" s="57" cm="1">
        <f t="array" ref="B82:F82">runReactor(B81:F81,$B$2,$B$3,A81,A82,$B$8)</f>
        <v>29851.380375136319</v>
      </c>
      <c r="C82" s="57">
        <v>51.569528166057665</v>
      </c>
      <c r="D82" s="57">
        <v>-8.6944854873711799E-2</v>
      </c>
      <c r="E82" s="57">
        <v>228.22750980381053</v>
      </c>
      <c r="F82" s="58">
        <v>13530083.353092119</v>
      </c>
    </row>
    <row r="83" spans="1:6" ht="16.5" customHeight="1">
      <c r="A83" s="56">
        <f t="shared" si="0"/>
        <v>65</v>
      </c>
      <c r="B83" s="57" cm="1">
        <f t="array" ref="B83:F83">runReactor(B82:F82,$B$2,$B$3,A82,A83,$B$8)</f>
        <v>30312.928317661022</v>
      </c>
      <c r="C83" s="57">
        <v>49.550889768220095</v>
      </c>
      <c r="D83" s="57">
        <v>-7.4934061625913664E-2</v>
      </c>
      <c r="E83" s="57">
        <v>229.20508472227979</v>
      </c>
      <c r="F83" s="58">
        <v>13201447.211691007</v>
      </c>
    </row>
    <row r="84" spans="1:6" ht="16.5" customHeight="1">
      <c r="A84" s="56">
        <f t="shared" ref="A84:A147" si="1">A83+1</f>
        <v>66</v>
      </c>
      <c r="B84" s="57" cm="1">
        <f t="array" ref="B84:F84">runReactor(B83:F83,$B$2,$B$3,A83,A84,$B$8)</f>
        <v>30774.476260185726</v>
      </c>
      <c r="C84" s="57">
        <v>47.783568375010262</v>
      </c>
      <c r="D84" s="57">
        <v>-6.4037791185912782E-2</v>
      </c>
      <c r="E84" s="57">
        <v>230.06107661592284</v>
      </c>
      <c r="F84" s="58">
        <v>12924412.872747201</v>
      </c>
    </row>
    <row r="85" spans="1:6" ht="16.5" customHeight="1">
      <c r="A85" s="56">
        <f t="shared" si="1"/>
        <v>67</v>
      </c>
      <c r="B85" s="57" cm="1">
        <f t="array" ref="B85:F85">runReactor(B84:F84,$B$2,$B$3,A84,A85,$B$8)</f>
        <v>31236.024202710429</v>
      </c>
      <c r="C85" s="57">
        <v>46.227073495258111</v>
      </c>
      <c r="D85" s="57">
        <v>-5.4244646193328333E-2</v>
      </c>
      <c r="E85" s="57">
        <v>230.8151619749172</v>
      </c>
      <c r="F85" s="58">
        <v>12690922.192380777</v>
      </c>
    </row>
    <row r="86" spans="1:6" ht="16.5" customHeight="1">
      <c r="A86" s="56">
        <f t="shared" si="1"/>
        <v>68</v>
      </c>
      <c r="B86" s="57" cm="1">
        <f t="array" ref="B86:F86">runReactor(B85:F85,$B$2,$B$3,A85,A86,$B$8)</f>
        <v>31697.572145235132</v>
      </c>
      <c r="C86" s="57">
        <v>44.847767353829319</v>
      </c>
      <c r="D86" s="57">
        <v>-4.5517068541252807E-2</v>
      </c>
      <c r="E86" s="57">
        <v>231.48367088476854</v>
      </c>
      <c r="F86" s="58">
        <v>12494169.209865559</v>
      </c>
    </row>
    <row r="87" spans="1:6" ht="16.5" customHeight="1">
      <c r="A87" s="56">
        <f t="shared" si="1"/>
        <v>69</v>
      </c>
      <c r="B87" s="57" cm="1">
        <f t="array" ref="B87:F87">runReactor(B86:F86,$B$2,$B$3,A86,A87,$B$8)</f>
        <v>32159.120087759835</v>
      </c>
      <c r="C87" s="57">
        <v>43.61768542487161</v>
      </c>
      <c r="D87" s="57">
        <v>-3.7797869230043205E-2</v>
      </c>
      <c r="E87" s="57">
        <v>232.08016418573794</v>
      </c>
      <c r="F87" s="58">
        <v>12328405.753058549</v>
      </c>
    </row>
    <row r="88" spans="1:6" ht="16.5" customHeight="1">
      <c r="A88" s="56">
        <f t="shared" si="1"/>
        <v>70</v>
      </c>
      <c r="B88" s="57" cm="1">
        <f t="array" ref="B88:F88">runReactor(B87:F87,$B$2,$B$3,A87,A88,$B$8)</f>
        <v>32620.668030284538</v>
      </c>
      <c r="C88" s="57">
        <v>42.513563315484717</v>
      </c>
      <c r="D88" s="57">
        <v>-3.1016443544183481E-2</v>
      </c>
      <c r="E88" s="57">
        <v>232.61591015540344</v>
      </c>
      <c r="F88" s="58">
        <v>12188777.499985659</v>
      </c>
    </row>
    <row r="89" spans="1:6" ht="16.5" customHeight="1">
      <c r="A89" s="56">
        <f t="shared" si="1"/>
        <v>71</v>
      </c>
      <c r="B89" s="57" cm="1">
        <f t="array" ref="B89:F89">runReactor(B88:F88,$B$2,$B$3,A88,A89,$B$8)</f>
        <v>33082.21597280899</v>
      </c>
      <c r="C89" s="57">
        <v>41.516033027233235</v>
      </c>
      <c r="D89" s="57">
        <v>-2.5094266092134887E-2</v>
      </c>
      <c r="E89" s="57">
        <v>233.10027843992646</v>
      </c>
      <c r="F89" s="58">
        <v>12071185.605583001</v>
      </c>
    </row>
    <row r="90" spans="1:6" ht="16.5" customHeight="1">
      <c r="A90" s="56">
        <f t="shared" si="1"/>
        <v>72</v>
      </c>
      <c r="B90" s="57" cm="1">
        <f t="array" ref="B90:F90">runReactor(B89:F89,$B$2,$B$3,A89,A90,$B$8)</f>
        <v>33543.763915333329</v>
      </c>
      <c r="C90" s="57">
        <v>40.608958436665588</v>
      </c>
      <c r="D90" s="57">
        <v>-1.9949451570252703E-2</v>
      </c>
      <c r="E90" s="57">
        <v>233.5410657628847</v>
      </c>
      <c r="F90" s="58">
        <v>11972169.811606137</v>
      </c>
    </row>
    <row r="91" spans="1:6" ht="16.5" customHeight="1">
      <c r="A91" s="56">
        <f t="shared" si="1"/>
        <v>73</v>
      </c>
      <c r="B91" s="57" cm="1">
        <f t="array" ref="B91:F91">runReactor(B90:F90,$B$2,$B$3,A90,A91,$B$8)</f>
        <v>34005.311857857669</v>
      </c>
      <c r="C91" s="57">
        <v>39.778885380279497</v>
      </c>
      <c r="D91" s="57">
        <v>-1.5500321160347478E-2</v>
      </c>
      <c r="E91" s="57">
        <v>233.94476533842888</v>
      </c>
      <c r="F91" s="58">
        <v>11888809.636076842</v>
      </c>
    </row>
    <row r="92" spans="1:6" ht="16.5" customHeight="1">
      <c r="A92" s="56">
        <f t="shared" si="1"/>
        <v>74</v>
      </c>
      <c r="B92" s="57" cm="1">
        <f t="array" ref="B92:F92">runReactor(B91:F91,$B$2,$B$3,A91,A92,$B$8)</f>
        <v>34466.859800382008</v>
      </c>
      <c r="C92" s="57">
        <v>39.014586227497766</v>
      </c>
      <c r="D92" s="57">
        <v>-1.1668022811067864E-2</v>
      </c>
      <c r="E92" s="57">
        <v>234.31678979442552</v>
      </c>
      <c r="F92" s="58">
        <v>11818640.802490354</v>
      </c>
    </row>
    <row r="93" spans="1:6" ht="16.5" customHeight="1">
      <c r="A93" s="56">
        <f t="shared" si="1"/>
        <v>75</v>
      </c>
      <c r="B93" s="57" cm="1">
        <f t="array" ref="B93:F93">runReactor(B92:F92,$B$2,$B$3,A92,A93,$B$8)</f>
        <v>34928.407742906347</v>
      </c>
      <c r="C93" s="57">
        <v>38.306682469866288</v>
      </c>
      <c r="D93" s="57">
        <v>-8.3783186738967588E-3</v>
      </c>
      <c r="E93" s="57">
        <v>234.66165567894197</v>
      </c>
      <c r="F93" s="58">
        <v>11759584.535069661</v>
      </c>
    </row>
    <row r="94" spans="1:6" ht="16.5" customHeight="1">
      <c r="A94" s="56">
        <f t="shared" si="1"/>
        <v>76</v>
      </c>
      <c r="B94" s="57" cm="1">
        <f t="array" ref="B94:F94">runReactor(B93:F93,$B$2,$B$3,A93,A94,$B$8)</f>
        <v>35389.955685430687</v>
      </c>
      <c r="C94" s="57">
        <v>37.647331808937096</v>
      </c>
      <c r="D94" s="57">
        <v>-5.5626828722661727E-3</v>
      </c>
      <c r="E94" s="57">
        <v>234.9831362056035</v>
      </c>
      <c r="F94" s="58">
        <v>11709887.730729809</v>
      </c>
    </row>
    <row r="95" spans="1:6" ht="16.5" customHeight="1">
      <c r="A95" s="56">
        <f t="shared" si="1"/>
        <v>77</v>
      </c>
      <c r="B95" s="57" cm="1">
        <f t="array" ref="B95:F95">runReactor(B94:F94,$B$2,$B$3,A94,A95,$B$8)</f>
        <v>35851.503627955026</v>
      </c>
      <c r="C95" s="57">
        <v>37.029968624277167</v>
      </c>
      <c r="D95" s="57">
        <v>-3.1588576293903885E-3</v>
      </c>
      <c r="E95" s="57">
        <v>235.28438773034358</v>
      </c>
      <c r="F95" s="58">
        <v>11668072.335677654</v>
      </c>
    </row>
    <row r="96" spans="1:6" ht="16.5" customHeight="1">
      <c r="A96" s="56">
        <f t="shared" si="1"/>
        <v>78</v>
      </c>
      <c r="B96" s="57" cm="1">
        <f t="array" ref="B96:F96">runReactor(B95:F95,$B$2,$B$3,A95,A96,$B$8)</f>
        <v>36313.051570479365</v>
      </c>
      <c r="C96" s="57">
        <v>36.44908865661661</v>
      </c>
      <c r="D96" s="57">
        <v>-1.1110049481407292E-3</v>
      </c>
      <c r="E96" s="57">
        <v>235.56805449612531</v>
      </c>
      <c r="F96" s="58">
        <v>11632892.517261403</v>
      </c>
    </row>
    <row r="97" spans="1:6" ht="16.5" customHeight="1">
      <c r="A97" s="56">
        <f t="shared" si="1"/>
        <v>79</v>
      </c>
      <c r="B97" s="57" cm="1">
        <f t="array" ref="B97:F97">runReactor(B96:F96,$B$2,$B$3,A96,A97,$B$8)</f>
        <v>36774.599513003704</v>
      </c>
      <c r="C97" s="57">
        <v>35.900070337333013</v>
      </c>
      <c r="D97" s="57">
        <v>6.304279768524284E-4</v>
      </c>
      <c r="E97" s="57">
        <v>235.83635539505053</v>
      </c>
      <c r="F97" s="58">
        <v>11603298.440180721</v>
      </c>
    </row>
    <row r="98" spans="1:6" ht="16.5" customHeight="1">
      <c r="A98" s="56">
        <f t="shared" si="1"/>
        <v>80</v>
      </c>
      <c r="B98" s="57" cm="1">
        <f t="array" ref="B98:F98">runReactor(B97:F97,$B$2,$B$3,A97,A98,$B$8)</f>
        <v>37236.147455528044</v>
      </c>
      <c r="C98" s="57">
        <v>35.379026504127907</v>
      </c>
      <c r="D98" s="57">
        <v>2.1090333093823871E-3</v>
      </c>
      <c r="E98" s="57">
        <v>236.09115584813514</v>
      </c>
      <c r="F98" s="58">
        <v>11578405.638838086</v>
      </c>
    </row>
    <row r="99" spans="1:6" ht="16.5" customHeight="1">
      <c r="A99" s="56">
        <f t="shared" si="1"/>
        <v>81</v>
      </c>
      <c r="B99" s="57" cm="1">
        <f t="array" ref="B99:F99">runReactor(B98:F98,$B$2,$B$3,A98,A99,$B$8)</f>
        <v>37697.695398052383</v>
      </c>
      <c r="C99" s="57">
        <v>34.882681319095063</v>
      </c>
      <c r="D99" s="57">
        <v>3.3628821538839297E-3</v>
      </c>
      <c r="E99" s="57">
        <v>236.3340273670897</v>
      </c>
      <c r="F99" s="58">
        <v>11557469.131087214</v>
      </c>
    </row>
    <row r="100" spans="1:6" ht="16.5" customHeight="1">
      <c r="A100" s="56">
        <f t="shared" si="1"/>
        <v>82</v>
      </c>
      <c r="B100" s="57" cm="1">
        <f t="array" ref="B100:F100">runReactor(B99:F99,$B$2,$B$3,A99,A100,$B$8)</f>
        <v>38159.243340576722</v>
      </c>
      <c r="C100" s="57">
        <v>34.408268093076366</v>
      </c>
      <c r="D100" s="57">
        <v>4.4250232773193681E-3</v>
      </c>
      <c r="E100" s="57">
        <v>236.56629691960225</v>
      </c>
      <c r="F100" s="58">
        <v>11539861.548133811</v>
      </c>
    </row>
    <row r="101" spans="1:6" ht="16.5" customHeight="1">
      <c r="A101" s="56">
        <f t="shared" si="1"/>
        <v>83</v>
      </c>
      <c r="B101" s="57" cm="1">
        <f t="array" ref="B101:F101">runReactor(B100:F100,$B$2,$B$3,A100,A101,$B$8)</f>
        <v>38620.791283101062</v>
      </c>
      <c r="C101" s="57">
        <v>33.953444453918216</v>
      </c>
      <c r="D101" s="57">
        <v>5.3240010027198392E-3</v>
      </c>
      <c r="E101" s="57">
        <v>236.78908785346897</v>
      </c>
      <c r="F101" s="58">
        <v>11525054.664984785</v>
      </c>
    </row>
    <row r="102" spans="1:6" ht="16.5" customHeight="1">
      <c r="A102" s="56">
        <f t="shared" si="1"/>
        <v>84</v>
      </c>
      <c r="B102" s="57" cm="1">
        <f t="array" ref="B102:F102">runReactor(B101:F101,$B$2,$B$3,A101,A102,$B$8)</f>
        <v>39082.339225625401</v>
      </c>
      <c r="C102" s="57">
        <v>33.516221903685548</v>
      </c>
      <c r="D102" s="57">
        <v>6.0843650086927076E-3</v>
      </c>
      <c r="E102" s="57">
        <v>237.00335383207863</v>
      </c>
      <c r="F102" s="58">
        <v>11512603.808894943</v>
      </c>
    </row>
    <row r="103" spans="1:6" ht="16.5" customHeight="1">
      <c r="A103" s="56">
        <f t="shared" si="1"/>
        <v>85</v>
      </c>
      <c r="B103" s="57" cm="1">
        <f t="array" ref="B103:F103">runReactor(B102:F102,$B$2,$B$3,A102,A103,$B$8)</f>
        <v>39543.88716814974</v>
      </c>
      <c r="C103" s="57">
        <v>33.094907313373746</v>
      </c>
      <c r="D103" s="57">
        <v>6.7271545120610558E-3</v>
      </c>
      <c r="E103" s="57">
        <v>237.20990698320963</v>
      </c>
      <c r="F103" s="58">
        <v>11502134.702357028</v>
      </c>
    </row>
    <row r="104" spans="1:6" ht="16.5" customHeight="1">
      <c r="A104" s="56">
        <f t="shared" si="1"/>
        <v>86</v>
      </c>
      <c r="B104" s="57" cm="1">
        <f t="array" ref="B104:F104">runReactor(B103:F103,$B$2,$B$3,A103,A104,$B$8)</f>
        <v>40005.43511067408</v>
      </c>
      <c r="C104" s="57">
        <v>32.688054321278251</v>
      </c>
      <c r="D104" s="57">
        <v>7.2703465263285697E-3</v>
      </c>
      <c r="E104" s="57">
        <v>237.4094412558087</v>
      </c>
      <c r="F104" s="58">
        <v>11493332.364468887</v>
      </c>
    </row>
    <row r="105" spans="1:6" ht="16.5" customHeight="1">
      <c r="A105" s="56">
        <f t="shared" si="1"/>
        <v>87</v>
      </c>
      <c r="B105" s="57" cm="1">
        <f t="array" ref="B105:F105">runReactor(B104:F104,$B$2,$B$3,A104,A105,$B$8)</f>
        <v>40466.983053198419</v>
      </c>
      <c r="C105" s="57">
        <v>32.294422947724136</v>
      </c>
      <c r="D105" s="57">
        <v>7.7292630528548933E-3</v>
      </c>
      <c r="E105" s="57">
        <v>237.60255180789173</v>
      </c>
      <c r="F105" s="58">
        <v>11485931.751765195</v>
      </c>
    </row>
    <row r="106" spans="1:6" ht="16.5" customHeight="1">
      <c r="A106" s="56">
        <f t="shared" si="1"/>
        <v>88</v>
      </c>
      <c r="B106" s="57" cm="1">
        <f t="array" ref="B106:F106">runReactor(B105:F105,$B$2,$B$3,A105,A106,$B$8)</f>
        <v>40928.530995722758</v>
      </c>
      <c r="C106" s="57">
        <v>31.912946026469555</v>
      </c>
      <c r="D106" s="57">
        <v>8.1169356247210132E-3</v>
      </c>
      <c r="E106" s="57">
        <v>237.78975110679468</v>
      </c>
      <c r="F106" s="58">
        <v>11479709.868307997</v>
      </c>
    </row>
    <row r="107" spans="1:6" ht="16.5" customHeight="1">
      <c r="A107" s="56">
        <f t="shared" si="1"/>
        <v>89</v>
      </c>
      <c r="B107" s="57" cm="1">
        <f t="array" ref="B107:F107">runReactor(B106:F106,$B$2,$B$3,A106,A107,$B$8)</f>
        <v>41390.078938247098</v>
      </c>
      <c r="C107" s="57">
        <v>31.54270129179659</v>
      </c>
      <c r="D107" s="57">
        <v>8.4444279764799308E-3</v>
      </c>
      <c r="E107" s="57">
        <v>237.97148230557295</v>
      </c>
      <c r="F107" s="58">
        <v>11474479.116243854</v>
      </c>
    </row>
    <row r="108" spans="1:6" ht="16.5" customHeight="1">
      <c r="A108" s="56">
        <f t="shared" si="1"/>
        <v>90</v>
      </c>
      <c r="B108" s="57" cm="1">
        <f t="array" ref="B108:F108">runReactor(B107:F107,$B$2,$B$3,A107,A108,$B$8)</f>
        <v>41851.626880771437</v>
      </c>
      <c r="C108" s="57">
        <v>31.182888158393247</v>
      </c>
      <c r="D108" s="57">
        <v>8.7211190779505707E-3</v>
      </c>
      <c r="E108" s="57">
        <v>238.14813036220104</v>
      </c>
      <c r="F108" s="58">
        <v>11470081.693225335</v>
      </c>
    </row>
    <row r="109" spans="1:6" ht="16.5" customHeight="1">
      <c r="A109" s="56">
        <f t="shared" si="1"/>
        <v>91</v>
      </c>
      <c r="B109" s="57" cm="1">
        <f t="array" ref="B109:F109">runReactor(B108:F108,$B$2,$B$3,A108,A109,$B$8)</f>
        <v>42313.174823295776</v>
      </c>
      <c r="C109" s="57">
        <v>30.832808395486847</v>
      </c>
      <c r="D109" s="57">
        <v>8.9549496010947974E-3</v>
      </c>
      <c r="E109" s="57">
        <v>238.32003128784092</v>
      </c>
      <c r="F109" s="58">
        <v>11466384.872971233</v>
      </c>
    </row>
    <row r="110" spans="1:6" ht="16.5" customHeight="1">
      <c r="A110" s="56">
        <f t="shared" si="1"/>
        <v>92</v>
      </c>
      <c r="B110" s="57" cm="1">
        <f t="array" ref="B110:F110">runReactor(B109:F109,$B$2,$B$3,A109,A110,$B$8)</f>
        <v>42774.722765820115</v>
      </c>
      <c r="C110" s="57">
        <v>30.491850033035</v>
      </c>
      <c r="D110" s="57">
        <v>9.1526352802313148E-3</v>
      </c>
      <c r="E110" s="57">
        <v>238.48747984394936</v>
      </c>
      <c r="F110" s="58">
        <v>11463277.030586002</v>
      </c>
    </row>
    <row r="111" spans="1:6" ht="16.5" customHeight="1">
      <c r="A111" s="56">
        <f t="shared" si="1"/>
        <v>93</v>
      </c>
      <c r="B111" s="57" cm="1">
        <f t="array" ref="B111:F111">runReactor(B110:F110,$B$2,$B$3,A110,A111,$B$8)</f>
        <v>43236.270708344455</v>
      </c>
      <c r="C111" s="57">
        <v>30.159473950864147</v>
      </c>
      <c r="D111" s="57">
        <v>9.319850722444482E-3</v>
      </c>
      <c r="E111" s="57">
        <v>238.6507359529771</v>
      </c>
      <c r="F111" s="58">
        <v>11460664.295743145</v>
      </c>
    </row>
    <row r="112" spans="1:6" ht="16.5" customHeight="1">
      <c r="A112" s="56">
        <f t="shared" si="1"/>
        <v>94</v>
      </c>
      <c r="B112" s="57" cm="1">
        <f t="array" ref="B112:F112">runReactor(B111:F111,$B$2,$B$3,A111,A112,$B$8)</f>
        <v>43697.818650868794</v>
      </c>
      <c r="C112" s="57">
        <v>29.835202695421007</v>
      </c>
      <c r="D112" s="57">
        <v>9.4613871325241825E-3</v>
      </c>
      <c r="E112" s="57">
        <v>238.81003004189</v>
      </c>
      <c r="F112" s="58">
        <v>11458467.73503386</v>
      </c>
    </row>
    <row r="113" spans="1:6" ht="16.5" customHeight="1">
      <c r="A113" s="56">
        <f t="shared" si="1"/>
        <v>95</v>
      </c>
      <c r="B113" s="57" cm="1">
        <f t="array" ref="B113:F113">runReactor(B112:F112,$B$2,$B$3,A112,A113,$B$8)</f>
        <v>44159.366593393133</v>
      </c>
      <c r="C113" s="57">
        <v>29.518611146553155</v>
      </c>
      <c r="D113" s="57">
        <v>9.5812872102698354E-3</v>
      </c>
      <c r="E113" s="57">
        <v>238.96556750007838</v>
      </c>
      <c r="F113" s="58">
        <v>11456620.980183199</v>
      </c>
    </row>
    <row r="114" spans="1:6" ht="16.5" customHeight="1">
      <c r="A114" s="56">
        <f t="shared" si="1"/>
        <v>96</v>
      </c>
      <c r="B114" s="57" cm="1">
        <f t="array" ref="B114:F114">runReactor(B113:F113,$B$2,$B$3,A113,A114,$B$8)</f>
        <v>44620.914535917473</v>
      </c>
      <c r="C114" s="57">
        <v>29.209318721191433</v>
      </c>
      <c r="D114" s="57">
        <v>9.6829602096448926E-3</v>
      </c>
      <c r="E114" s="57">
        <v>239.11753240205383</v>
      </c>
      <c r="F114" s="58">
        <v>11455068.231861649</v>
      </c>
    </row>
    <row r="115" spans="1:6" ht="16.5" customHeight="1">
      <c r="A115" s="56">
        <f t="shared" si="1"/>
        <v>97</v>
      </c>
      <c r="B115" s="57" cm="1">
        <f t="array" ref="B115:F115">runReactor(B114:F114,$B$2,$B$3,A114,A115,$B$8)</f>
        <v>45082.462478441812</v>
      </c>
      <c r="C115" s="57">
        <v>28.906982854237526</v>
      </c>
      <c r="D115" s="57">
        <v>9.7692798543889507E-3</v>
      </c>
      <c r="E115" s="57">
        <v>239.26609061954437</v>
      </c>
      <c r="F115" s="58">
        <v>11453762.579829706</v>
      </c>
    </row>
    <row r="116" spans="1:6" ht="16.5" customHeight="1">
      <c r="A116" s="56">
        <f t="shared" si="1"/>
        <v>98</v>
      </c>
      <c r="B116" s="57" cm="1">
        <f t="array" ref="B116:F116">runReactor(B115:F115,$B$2,$B$3,A115,A116,$B$8)</f>
        <v>45544.010420966151</v>
      </c>
      <c r="C116" s="57">
        <v>28.611293541248148</v>
      </c>
      <c r="D116" s="57">
        <v>9.8426675063197407E-3</v>
      </c>
      <c r="E116" s="57">
        <v>239.41139242624914</v>
      </c>
      <c r="F116" s="58">
        <v>11452664.589454161</v>
      </c>
    </row>
    <row r="117" spans="1:6" ht="16.5" customHeight="1">
      <c r="A117" s="56">
        <f t="shared" si="1"/>
        <v>99</v>
      </c>
      <c r="B117" s="57" cm="1">
        <f t="array" ref="B117:F117">runReactor(B116:F116,$B$2,$B$3,A116,A117,$B$8)</f>
        <v>46005.558363490491</v>
      </c>
      <c r="C117" s="57">
        <v>28.321968764216397</v>
      </c>
      <c r="D117" s="57">
        <v>9.9051626951284135E-3</v>
      </c>
      <c r="E117" s="57">
        <v>239.55357468084668</v>
      </c>
      <c r="F117" s="58">
        <v>11451741.112487609</v>
      </c>
    </row>
    <row r="118" spans="1:6" ht="16.5" customHeight="1">
      <c r="A118" s="56">
        <f t="shared" si="1"/>
        <v>100</v>
      </c>
      <c r="B118" s="57" cm="1">
        <f t="array" ref="B118:F118">runReactor(B117:F117,$B$2,$B$3,A117,A118,$B$8)</f>
        <v>46467.10630601483</v>
      </c>
      <c r="C118" s="57">
        <v>28.038750652178141</v>
      </c>
      <c r="D118" s="57">
        <v>9.9584828503590257E-3</v>
      </c>
      <c r="E118" s="57">
        <v>239.6927626592217</v>
      </c>
      <c r="F118" s="58">
        <v>11450964.286630707</v>
      </c>
    </row>
    <row r="119" spans="1:6" ht="16.5" customHeight="1">
      <c r="A119" s="56">
        <f t="shared" si="1"/>
        <v>101</v>
      </c>
      <c r="B119" s="57" cm="1">
        <f t="array" ref="B119:F119">runReactor(B118:F118,$B$2,$B$3,A118,A119,$B$8)</f>
        <v>46928.654248539169</v>
      </c>
      <c r="C119" s="57">
        <v>27.761402253593214</v>
      </c>
      <c r="D119" s="57">
        <v>1.0004073831765905E-2</v>
      </c>
      <c r="E119" s="57">
        <v>239.82907159476559</v>
      </c>
      <c r="F119" s="58">
        <v>11450310.693988072</v>
      </c>
    </row>
    <row r="120" spans="1:6" ht="16.5" customHeight="1">
      <c r="A120" s="56">
        <f t="shared" si="1"/>
        <v>102</v>
      </c>
      <c r="B120" s="57" cm="1">
        <f t="array" ref="B120:F120">runReactor(B119:F119,$B$2,$B$3,A119,A120,$B$8)</f>
        <v>47390.202191063509</v>
      </c>
      <c r="C120" s="57">
        <v>27.489704818357609</v>
      </c>
      <c r="D120" s="57">
        <v>1.0043152634982559E-2</v>
      </c>
      <c r="E120" s="57">
        <v>239.96260797557491</v>
      </c>
      <c r="F120" s="58">
        <v>11449760.653243832</v>
      </c>
    </row>
    <row r="121" spans="1:6" ht="16.5" customHeight="1">
      <c r="A121" s="56">
        <f t="shared" si="1"/>
        <v>103</v>
      </c>
      <c r="B121" s="57" cm="1">
        <f t="array" ref="B121:F121">runReactor(B120:F120,$B$2,$B$3,A120,A121,$B$8)</f>
        <v>47851.750133587848</v>
      </c>
      <c r="C121" s="57">
        <v>27.223455504637826</v>
      </c>
      <c r="D121" s="57">
        <v>1.007674345516435E-2</v>
      </c>
      <c r="E121" s="57">
        <v>240.09347063906256</v>
      </c>
      <c r="F121" s="58">
        <v>11449297.624358431</v>
      </c>
    </row>
    <row r="122" spans="1:6" ht="16.5" customHeight="1">
      <c r="A122" s="56">
        <f t="shared" si="1"/>
        <v>104</v>
      </c>
      <c r="B122" s="57" cm="1">
        <f t="array" ref="B122:F122">runReactor(B121:F121,$B$2,$B$3,A121,A122,$B$8)</f>
        <v>48313.298076112187</v>
      </c>
      <c r="C122" s="57">
        <v>26.962465440088327</v>
      </c>
      <c r="D122" s="57">
        <v>1.0105708120920197E-2</v>
      </c>
      <c r="E122" s="57">
        <v>240.22175169761411</v>
      </c>
      <c r="F122" s="58">
        <v>11448907.707938615</v>
      </c>
    </row>
    <row r="123" spans="1:6" ht="16.5" customHeight="1">
      <c r="A123" s="56">
        <f t="shared" si="1"/>
        <v>105</v>
      </c>
      <c r="B123" s="57" cm="1">
        <f t="array" ref="B123:F123">runReactor(B122:F122,$B$2,$B$3,A122,A123,$B$8)</f>
        <v>48774.846018636526</v>
      </c>
      <c r="C123" s="57">
        <v>26.706558078931991</v>
      </c>
      <c r="D123" s="57">
        <v>1.0130771762484746E-2</v>
      </c>
      <c r="E123" s="57">
        <v>240.34753732322088</v>
      </c>
      <c r="F123" s="58">
        <v>11448579.224255776</v>
      </c>
    </row>
    <row r="124" spans="1:6" ht="16.5" customHeight="1">
      <c r="A124" s="56">
        <f t="shared" si="1"/>
        <v>106</v>
      </c>
      <c r="B124" s="57" cm="1">
        <f t="array" ref="B124:F124">runReactor(B123:F123,$B$2,$B$3,A123,A124,$B$8)</f>
        <v>49236.393961160866</v>
      </c>
      <c r="C124" s="57">
        <v>26.455567806266824</v>
      </c>
      <c r="D124" s="57">
        <v>1.0152544449742023E-2</v>
      </c>
      <c r="E124" s="57">
        <v>240.47090841428957</v>
      </c>
      <c r="F124" s="58">
        <v>11448302.359266138</v>
      </c>
    </row>
    <row r="125" spans="1:6" ht="16.5" customHeight="1">
      <c r="A125" s="56">
        <f t="shared" si="1"/>
        <v>107</v>
      </c>
      <c r="B125" s="57" cm="1">
        <f t="array" ref="B125:F125">runReactor(B124:F124,$B$2,$B$3,A124,A125,$B$8)</f>
        <v>49697.941903685205</v>
      </c>
      <c r="C125" s="57">
        <v>26.209338749161713</v>
      </c>
      <c r="D125" s="57">
        <v>1.0171539425181415E-2</v>
      </c>
      <c r="E125" s="57">
        <v>240.59194116391339</v>
      </c>
      <c r="F125" s="58">
        <v>11448068.866989208</v>
      </c>
    </row>
    <row r="126" spans="1:6" ht="16.5" customHeight="1">
      <c r="A126" s="56">
        <f t="shared" si="1"/>
        <v>108</v>
      </c>
      <c r="B126" s="57" cm="1">
        <f t="array" ref="B126:F126">runReactor(B125:F125,$B$2,$B$3,A125,A126,$B$8)</f>
        <v>50159.489846209544</v>
      </c>
      <c r="C126" s="57">
        <v>25.967723760906775</v>
      </c>
      <c r="D126" s="57">
        <v>1.0188188462072553E-2</v>
      </c>
      <c r="E126" s="57">
        <v>240.7107075456361</v>
      </c>
      <c r="F126" s="58">
        <v>11447871.819288349</v>
      </c>
    </row>
    <row r="127" spans="1:6" ht="16.5" customHeight="1">
      <c r="A127" s="56">
        <f t="shared" si="1"/>
        <v>109</v>
      </c>
      <c r="B127" s="57" cm="1">
        <f t="array" ref="B127:F127">runReactor(B126:F126,$B$2,$B$3,A126,A127,$B$8)</f>
        <v>50621.037788733884</v>
      </c>
      <c r="C127" s="57">
        <v>25.730583550429341</v>
      </c>
      <c r="D127" s="57">
        <v>1.0202854797099566E-2</v>
      </c>
      <c r="E127" s="57">
        <v>240.82727573005076</v>
      </c>
      <c r="F127" s="58">
        <v>11447705.395516906</v>
      </c>
    </row>
    <row r="128" spans="1:6" ht="16.5" customHeight="1">
      <c r="A128" s="56">
        <f t="shared" si="1"/>
        <v>110</v>
      </c>
      <c r="B128" s="57" cm="1">
        <f t="array" ref="B128:F128">runReactor(B127:F127,$B$2,$B$3,A127,A128,$B$8)</f>
        <v>51082.585731258223</v>
      </c>
      <c r="C128" s="57">
        <v>25.497785933572654</v>
      </c>
      <c r="D128" s="57">
        <v>1.021584401760345E-2</v>
      </c>
      <c r="E128" s="57">
        <v>240.94171044333009</v>
      </c>
      <c r="F128" s="58">
        <v>11447564.70568949</v>
      </c>
    </row>
    <row r="129" spans="1:6" ht="16.5" customHeight="1">
      <c r="A129" s="56">
        <f t="shared" si="1"/>
        <v>111</v>
      </c>
      <c r="B129" s="57" cm="1">
        <f t="array" ref="B129:F129">runReactor(B128:F128,$B$2,$B$3,A128,A129,$B$8)</f>
        <v>51544.133673782562</v>
      </c>
      <c r="C129" s="57">
        <v>25.269205186825374</v>
      </c>
      <c r="D129" s="57">
        <v>1.0227413224795154E-2</v>
      </c>
      <c r="E129" s="57">
        <v>241.05407327693766</v>
      </c>
      <c r="F129" s="58">
        <v>11447445.641844425</v>
      </c>
    </row>
    <row r="130" spans="1:6" ht="16.5" customHeight="1">
      <c r="A130" s="56">
        <f t="shared" si="1"/>
        <v>112</v>
      </c>
      <c r="B130" s="57" cm="1">
        <f t="array" ref="B130:F130">runReactor(B129:F129,$B$2,$B$3,A129,A130,$B$8)</f>
        <v>52005.681616306902</v>
      </c>
      <c r="C130" s="57">
        <v>25.044721487321148</v>
      </c>
      <c r="D130" s="57">
        <v>1.0237778744382533E-2</v>
      </c>
      <c r="E130" s="57">
        <v>241.16442295622372</v>
      </c>
      <c r="F130" s="58">
        <v>11447344.753110226</v>
      </c>
    </row>
    <row r="131" spans="1:6" ht="16.5" customHeight="1">
      <c r="A131" s="56">
        <f t="shared" si="1"/>
        <v>113</v>
      </c>
      <c r="B131" s="57" cm="1">
        <f t="array" ref="B131:F131">runReactor(B130:F130,$B$2,$B$3,A130,A131,$B$8)</f>
        <v>52467.229558831241</v>
      </c>
      <c r="C131" s="57">
        <v>24.82422042561187</v>
      </c>
      <c r="D131" s="57">
        <v>1.0247122613740967E-2</v>
      </c>
      <c r="E131" s="57">
        <v>241.27281557433034</v>
      </c>
      <c r="F131" s="58">
        <v>11447259.140702207</v>
      </c>
    </row>
    <row r="132" spans="1:6" ht="16.5" customHeight="1">
      <c r="A132" s="56">
        <f t="shared" si="1"/>
        <v>114</v>
      </c>
      <c r="B132" s="57" cm="1">
        <f t="array" ref="B132:F132">runReactor(B131:F131,$B$2,$B$3,A131,A132,$B$8)</f>
        <v>52928.77750135558</v>
      </c>
      <c r="C132" s="57">
        <v>24.607592579949728</v>
      </c>
      <c r="D132" s="57">
        <v>1.025559803890338E-2</v>
      </c>
      <c r="E132" s="57">
        <v>241.37930479676984</v>
      </c>
      <c r="F132" s="58">
        <v>11447186.369674562</v>
      </c>
    </row>
    <row r="133" spans="1:6" ht="16.5" customHeight="1">
      <c r="A133" s="56">
        <f t="shared" si="1"/>
        <v>115</v>
      </c>
      <c r="B133" s="57" cm="1">
        <f t="array" ref="B133:F133">runReactor(B132:F132,$B$2,$B$3,A132,A133,$B$8)</f>
        <v>53390.325443879919</v>
      </c>
      <c r="C133" s="57">
        <v>24.394733142666848</v>
      </c>
      <c r="D133" s="57">
        <v>1.0263333984343818E-2</v>
      </c>
      <c r="E133" s="57">
        <v>241.48394204115368</v>
      </c>
      <c r="F133" s="58">
        <v>11447124.394758809</v>
      </c>
    </row>
    <row r="134" spans="1:6" ht="16.5" customHeight="1">
      <c r="A134" s="56">
        <f t="shared" si="1"/>
        <v>116</v>
      </c>
      <c r="B134" s="57" cm="1">
        <f t="array" ref="B134:F134">runReactor(B133:F133,$B$2,$B$3,A133,A134,$B$8)</f>
        <v>53851.873386404259</v>
      </c>
      <c r="C134" s="57">
        <v>24.185541590784563</v>
      </c>
      <c r="D134" s="57">
        <v>1.0270439032899013E-2</v>
      </c>
      <c r="E134" s="57">
        <v>241.58677663581759</v>
      </c>
      <c r="F134" s="58">
        <v>11447071.498043288</v>
      </c>
    </row>
    <row r="135" spans="1:6" ht="16.5" customHeight="1">
      <c r="A135" s="56">
        <f t="shared" si="1"/>
        <v>117</v>
      </c>
      <c r="B135" s="57" cm="1">
        <f t="array" ref="B135:F135">runReactor(B134:F134,$B$2,$B$3,A134,A135,$B$8)</f>
        <v>54313.421328928598</v>
      </c>
      <c r="C135" s="57">
        <v>23.979921394266395</v>
      </c>
      <c r="D135" s="57">
        <v>1.0277004631552561E-2</v>
      </c>
      <c r="E135" s="57">
        <v>241.68785596047675</v>
      </c>
      <c r="F135" s="58">
        <v>11447026.236606048</v>
      </c>
    </row>
    <row r="136" spans="1:6" ht="16.5" customHeight="1">
      <c r="A136" s="56">
        <f t="shared" si="1"/>
        <v>118</v>
      </c>
      <c r="B136" s="57" cm="1">
        <f t="array" ref="B136:F136">runReactor(B135:F135,$B$2,$B$3,A135,A136,$B$8)</f>
        <v>54774.969271452937</v>
      </c>
      <c r="C136" s="57">
        <v>23.777779756398221</v>
      </c>
      <c r="D136" s="57">
        <v>1.0283107820523697E-2</v>
      </c>
      <c r="E136" s="57">
        <v>241.78722557153611</v>
      </c>
      <c r="F136" s="58">
        <v>11446987.39851387</v>
      </c>
    </row>
    <row r="137" spans="1:6" ht="16.5" customHeight="1">
      <c r="A137" s="56">
        <f t="shared" si="1"/>
        <v>119</v>
      </c>
      <c r="B137" s="57" cm="1">
        <f t="array" ref="B137:F137">runReactor(B136:F136,$B$2,$B$3,A136,A137,$B$8)</f>
        <v>55236.517213977277</v>
      </c>
      <c r="C137" s="57">
        <v>23.579027381667085</v>
      </c>
      <c r="D137" s="57">
        <v>1.0288813527729418E-2</v>
      </c>
      <c r="E137" s="57">
        <v>241.88492931425759</v>
      </c>
      <c r="F137" s="58">
        <v>11446953.965852739</v>
      </c>
    </row>
    <row r="138" spans="1:6" ht="16.5" customHeight="1">
      <c r="A138" s="56">
        <f t="shared" si="1"/>
        <v>120</v>
      </c>
      <c r="B138" s="57" cm="1">
        <f t="array" ref="B138:F138">runReactor(B137:F137,$B$2,$B$3,A137,A138,$B$8)</f>
        <v>55698.065156501616</v>
      </c>
      <c r="C138" s="57">
        <v>23.383578267251906</v>
      </c>
      <c r="D138" s="57">
        <v>1.0294176497689976E-2</v>
      </c>
      <c r="E138" s="57">
        <v>241.98100942363624</v>
      </c>
      <c r="F138" s="58">
        <v>11446925.083667986</v>
      </c>
    </row>
    <row r="139" spans="1:6" ht="16.5" customHeight="1">
      <c r="A139" s="56">
        <f t="shared" si="1"/>
        <v>121</v>
      </c>
      <c r="B139" s="57" cm="1">
        <f t="array" ref="B139:F139">runReactor(B138:F138,$B$2,$B$3,A138,A139,$B$8)</f>
        <v>56159.613099025955</v>
      </c>
      <c r="C139" s="57">
        <v>23.191349514856945</v>
      </c>
      <c r="D139" s="57">
        <v>1.0299242913009776E-2</v>
      </c>
      <c r="E139" s="57">
        <v>242.07550661553879</v>
      </c>
      <c r="F139" s="58">
        <v>11446900.033870539</v>
      </c>
    </row>
    <row r="140" spans="1:6" ht="16.5" customHeight="1">
      <c r="A140" s="56">
        <f t="shared" si="1"/>
        <v>122</v>
      </c>
      <c r="B140" s="57" cm="1">
        <f t="array" ref="B140:F140">runReactor(B139:F139,$B$2,$B$3,A139,A140,$B$8)</f>
        <v>56621.161041550295</v>
      </c>
      <c r="C140" s="57">
        <v>23.002261160133887</v>
      </c>
      <c r="D140" s="57">
        <v>1.0304051757350116E-2</v>
      </c>
      <c r="E140" s="57">
        <v>242.16846016941653</v>
      </c>
      <c r="F140" s="58">
        <v>11446878.213316582</v>
      </c>
    </row>
    <row r="141" spans="1:6" ht="16.5" customHeight="1">
      <c r="A141" s="56">
        <f t="shared" si="1"/>
        <v>123</v>
      </c>
      <c r="B141" s="57" cm="1">
        <f t="array" ref="B141:F141">runReactor(B140:F140,$B$2,$B$3,A140,A141,$B$8)</f>
        <v>57082.708984074634</v>
      </c>
      <c r="C141" s="57">
        <v>22.816236017368539</v>
      </c>
      <c r="D141" s="57">
        <v>1.0308635961051667E-2</v>
      </c>
      <c r="E141" s="57">
        <v>242.25990800370084</v>
      </c>
      <c r="F141" s="58">
        <v>11446859.115394011</v>
      </c>
    </row>
    <row r="142" spans="1:6" ht="16.5" customHeight="1">
      <c r="A142" s="56">
        <f t="shared" si="1"/>
        <v>124</v>
      </c>
      <c r="B142" s="57" cm="1">
        <f t="array" ref="B142:F142">runReactor(B141:F141,$B$2,$B$3,A141,A142,$B$8)</f>
        <v>57544.256926598973</v>
      </c>
      <c r="C142" s="57">
        <v>22.633199537467732</v>
      </c>
      <c r="D142" s="57">
        <v>1.0313023364020247E-2</v>
      </c>
      <c r="E142" s="57">
        <v>242.34988674481411</v>
      </c>
      <c r="F142" s="58">
        <v>11446842.314555565</v>
      </c>
    </row>
    <row r="143" spans="1:6" ht="16.5" customHeight="1">
      <c r="A143" s="56">
        <f t="shared" si="1"/>
        <v>125</v>
      </c>
      <c r="B143" s="57" cm="1">
        <f t="array" ref="B143:F143">runReactor(B142:F142,$B$2,$B$3,A142,A143,$B$8)</f>
        <v>58005.804869123313</v>
      </c>
      <c r="C143" s="57">
        <v>22.453079677581883</v>
      </c>
      <c r="D143" s="57">
        <v>1.0317237524995635E-2</v>
      </c>
      <c r="E143" s="57">
        <v>242.43843179059181</v>
      </c>
      <c r="F143" s="58">
        <v>11446827.453327544</v>
      </c>
    </row>
    <row r="144" spans="1:6" ht="16.5" customHeight="1">
      <c r="A144" s="56">
        <f t="shared" si="1"/>
        <v>126</v>
      </c>
      <c r="B144" s="57" cm="1">
        <f t="array" ref="B144:F144">runReactor(B143:F143,$B$2,$B$3,A143,A144,$B$8)</f>
        <v>58467.352811647652</v>
      </c>
      <c r="C144" s="57">
        <v>22.275806780950219</v>
      </c>
      <c r="D144" s="57">
        <v>1.0321298401690701E-2</v>
      </c>
      <c r="E144" s="57">
        <v>242.52557736878711</v>
      </c>
      <c r="F144" s="58">
        <v>11446814.231398651</v>
      </c>
    </row>
    <row r="145" spans="1:6" ht="16.5" customHeight="1">
      <c r="A145" s="56">
        <f t="shared" si="1"/>
        <v>127</v>
      </c>
      <c r="B145" s="57" cm="1">
        <f t="array" ref="B145:F145">runReactor(B144:F144,$B$2,$B$3,A144,A145,$B$8)</f>
        <v>58928.900754171991</v>
      </c>
      <c r="C145" s="57">
        <v>22.101313465766246</v>
      </c>
      <c r="D145" s="57">
        <v>1.032522292239319E-2</v>
      </c>
      <c r="E145" s="57">
        <v>242.61135659123306</v>
      </c>
      <c r="F145" s="58">
        <v>11446802.396456178</v>
      </c>
    </row>
    <row r="146" spans="1:6" ht="16.5" customHeight="1">
      <c r="A146" s="56">
        <f t="shared" si="1"/>
        <v>128</v>
      </c>
      <c r="B146" s="57" cm="1">
        <f t="array" ref="B146:F146">runReactor(B145:F145,$B$2,$B$3,A145,A146,$B$8)</f>
        <v>59390.44869669633</v>
      </c>
      <c r="C146" s="57">
        <v>21.929534522037198</v>
      </c>
      <c r="D146" s="57">
        <v>1.032902546634196E-2</v>
      </c>
      <c r="E146" s="57">
        <v>242.69580150415123</v>
      </c>
      <c r="F146" s="58">
        <v>11446791.736490188</v>
      </c>
    </row>
    <row r="147" spans="1:6" ht="16.5" customHeight="1">
      <c r="A147" s="56">
        <f t="shared" si="1"/>
        <v>129</v>
      </c>
      <c r="B147" s="57" cm="1">
        <f t="array" ref="B147:F147">runReactor(B146:F146,$B$2,$B$3,A146,A147,$B$8)</f>
        <v>59856.612118645913</v>
      </c>
      <c r="C147" s="57">
        <v>21.758728718728634</v>
      </c>
      <c r="D147" s="57">
        <v>1.0332754677885763E-2</v>
      </c>
      <c r="E147" s="57">
        <v>242.7797680722384</v>
      </c>
      <c r="F147" s="58">
        <v>11446781.981204988</v>
      </c>
    </row>
    <row r="148" spans="1:6" ht="16.5" customHeight="1">
      <c r="A148" s="56">
        <f t="shared" ref="A148:A211" si="2">A147+1</f>
        <v>130</v>
      </c>
      <c r="B148" s="57" cm="1">
        <f t="array" ref="B148:F148">runReactor(B147:F147,$B$2,$B$3,A147,A148,$B$8)</f>
        <v>60322.775540595496</v>
      </c>
      <c r="C148" s="57">
        <v>21.590564454802429</v>
      </c>
      <c r="D148" s="57">
        <v>1.0336382673679305E-2</v>
      </c>
      <c r="E148" s="57">
        <v>242.86243611900929</v>
      </c>
      <c r="F148" s="58">
        <v>11446773.088638157</v>
      </c>
    </row>
    <row r="149" spans="1:6" ht="16.5" customHeight="1">
      <c r="A149" s="56">
        <f t="shared" si="2"/>
        <v>131</v>
      </c>
      <c r="B149" s="57" cm="1">
        <f t="array" ref="B149:F149">runReactor(B148:F148,$B$2,$B$3,A148,A149,$B$8)</f>
        <v>60788.938962545079</v>
      </c>
      <c r="C149" s="57">
        <v>21.424980717716878</v>
      </c>
      <c r="D149" s="57">
        <v>1.0339918609603536E-2</v>
      </c>
      <c r="E149" s="57">
        <v>242.94383563140943</v>
      </c>
      <c r="F149" s="58">
        <v>11446764.929401275</v>
      </c>
    </row>
    <row r="150" spans="1:6" ht="16.5" customHeight="1">
      <c r="A150" s="56">
        <f t="shared" si="2"/>
        <v>132</v>
      </c>
      <c r="B150" s="57" cm="1">
        <f t="array" ref="B150:F150">runReactor(B149:F149,$B$2,$B$3,A149,A150,$B$8)</f>
        <v>61255.102384494661</v>
      </c>
      <c r="C150" s="57">
        <v>21.261918390781602</v>
      </c>
      <c r="D150" s="57">
        <v>1.034337031263634E-2</v>
      </c>
      <c r="E150" s="57">
        <v>243.0239956654375</v>
      </c>
      <c r="F150" s="58">
        <v>11446757.394878477</v>
      </c>
    </row>
    <row r="151" spans="1:6" ht="16.5" customHeight="1">
      <c r="A151" s="56">
        <f t="shared" si="2"/>
        <v>133</v>
      </c>
      <c r="B151" s="57" cm="1">
        <f t="array" ref="B151:F151">runReactor(B150:F150,$B$2,$B$3,A150,A151,$B$8)</f>
        <v>61721.265806444244</v>
      </c>
      <c r="C151" s="57">
        <v>21.10132017536576</v>
      </c>
      <c r="D151" s="57">
        <v>1.0346744491639194E-2</v>
      </c>
      <c r="E151" s="57">
        <v>243.10294438421715</v>
      </c>
      <c r="F151" s="58">
        <v>11446750.393864362</v>
      </c>
    </row>
    <row r="152" spans="1:6" ht="16.5" customHeight="1">
      <c r="A152" s="56">
        <f t="shared" si="2"/>
        <v>134</v>
      </c>
      <c r="B152" s="57" cm="1">
        <f t="array" ref="B152:F152">runReactor(B151:F151,$B$2,$B$3,A151,A152,$B$8)</f>
        <v>62187.429228393827</v>
      </c>
      <c r="C152" s="57">
        <v>20.94313051760129</v>
      </c>
      <c r="D152" s="57">
        <v>1.0350046914211037E-2</v>
      </c>
      <c r="E152" s="57">
        <v>243.18070909388626</v>
      </c>
      <c r="F152" s="58">
        <v>11446743.849746045</v>
      </c>
    </row>
    <row r="153" spans="1:6" ht="16.5" customHeight="1">
      <c r="A153" s="56">
        <f t="shared" si="2"/>
        <v>135</v>
      </c>
      <c r="B153" s="57" cm="1">
        <f t="array" ref="B153:F153">runReactor(B152:F152,$B$2,$B$3,A152,A153,$B$8)</f>
        <v>62653.592650343409</v>
      </c>
      <c r="C153" s="57">
        <v>20.787295539186324</v>
      </c>
      <c r="D153" s="57">
        <v>1.0353282555090831E-2</v>
      </c>
      <c r="E153" s="57">
        <v>243.25731627749536</v>
      </c>
      <c r="F153" s="58">
        <v>11446737.698141649</v>
      </c>
    </row>
    <row r="154" spans="1:6" ht="16.5" customHeight="1">
      <c r="A154" s="56">
        <f t="shared" si="2"/>
        <v>136</v>
      </c>
      <c r="B154" s="57" cm="1">
        <f t="array" ref="B154:F154">runReactor(B153:F153,$B$2,$B$3,A153,A154,$B$8)</f>
        <v>63119.756072292992</v>
      </c>
      <c r="C154" s="57">
        <v>20.633762971944538</v>
      </c>
      <c r="D154" s="57">
        <v>1.0356455720691935E-2</v>
      </c>
      <c r="E154" s="57">
        <v>243.33279162707751</v>
      </c>
      <c r="F154" s="58">
        <v>11446731.884921132</v>
      </c>
    </row>
    <row r="155" spans="1:6" ht="16.5" customHeight="1">
      <c r="A155" s="56">
        <f t="shared" si="2"/>
        <v>137</v>
      </c>
      <c r="B155" s="57" cm="1">
        <f t="array" ref="B155:F155">runReactor(B154:F154,$B$2,$B$3,A154,A155,$B$8)</f>
        <v>63585.919494242575</v>
      </c>
      <c r="C155" s="57">
        <v>20.482482095836634</v>
      </c>
      <c r="D155" s="57">
        <v>1.0359570153615836E-2</v>
      </c>
      <c r="E155" s="57">
        <v>243.40716007403788</v>
      </c>
      <c r="F155" s="58">
        <v>11446726.364547811</v>
      </c>
    </row>
    <row r="156" spans="1:6" ht="16.5" customHeight="1">
      <c r="A156" s="56">
        <f t="shared" si="2"/>
        <v>138</v>
      </c>
      <c r="B156" s="57" cm="1">
        <f t="array" ref="B156:F156">runReactor(B155:F155,$B$2,$B$3,A155,A156,$B$8)</f>
        <v>64052.082916192157</v>
      </c>
      <c r="C156" s="57">
        <v>20.333403680155897</v>
      </c>
      <c r="D156" s="57">
        <v>1.0362629120381613E-2</v>
      </c>
      <c r="E156" s="57">
        <v>243.48044581799269</v>
      </c>
      <c r="F156" s="58">
        <v>11446721.098688509</v>
      </c>
    </row>
    <row r="157" spans="1:6" ht="16.5" customHeight="1">
      <c r="A157" s="56">
        <f t="shared" si="2"/>
        <v>139</v>
      </c>
      <c r="B157" s="57" cm="1">
        <f t="array" ref="B157:F157">runReactor(B156:F156,$B$2,$B$3,A156,A157,$B$8)</f>
        <v>64518.24633814174</v>
      </c>
      <c r="C157" s="57">
        <v>20.186479927670202</v>
      </c>
      <c r="D157" s="57">
        <v>1.0365635485074061E-2</v>
      </c>
      <c r="E157" s="57">
        <v>243.55267235416972</v>
      </c>
      <c r="F157" s="58">
        <v>11446716.055048984</v>
      </c>
    </row>
    <row r="158" spans="1:6" ht="16.5" customHeight="1">
      <c r="A158" s="56">
        <f t="shared" si="2"/>
        <v>140</v>
      </c>
      <c r="B158" s="57" cm="1">
        <f t="array" ref="B158:F158">runReactor(B157:F157,$B$2,$B$3,A157,A158,$B$8)</f>
        <v>64984.409760091323</v>
      </c>
      <c r="C158" s="57">
        <v>20.041664421498744</v>
      </c>
      <c r="D158" s="57">
        <v>1.0368591771180704E-2</v>
      </c>
      <c r="E158" s="57">
        <v>243.62386249947542</v>
      </c>
      <c r="F158" s="58">
        <v>11446711.206398051</v>
      </c>
    </row>
    <row r="159" spans="1:6" ht="16.5" customHeight="1">
      <c r="A159" s="56">
        <f t="shared" si="2"/>
        <v>141</v>
      </c>
      <c r="B159" s="57" cm="1">
        <f t="array" ref="B159:F159">runReactor(B158:F158,$B$2,$B$3,A158,A159,$B$8)</f>
        <v>65450.573182040906</v>
      </c>
      <c r="C159" s="57">
        <v>19.898912074533715</v>
      </c>
      <c r="D159" s="57">
        <v>1.037150021352656E-2</v>
      </c>
      <c r="E159" s="57">
        <v>243.6940384173177</v>
      </c>
      <c r="F159" s="58">
        <v>11446706.529749913</v>
      </c>
    </row>
    <row r="160" spans="1:6" ht="16.5" customHeight="1">
      <c r="A160" s="56">
        <f t="shared" si="2"/>
        <v>142</v>
      </c>
      <c r="B160" s="57" cm="1">
        <f t="array" ref="B160:F160">runReactor(B159:F159,$B$2,$B$3,A159,A160,$B$8)</f>
        <v>65916.736603991085</v>
      </c>
      <c r="C160" s="57">
        <v>19.758179081236982</v>
      </c>
      <c r="D160" s="57">
        <v>1.0374362801902546E-2</v>
      </c>
      <c r="E160" s="57">
        <v>243.76322164126807</v>
      </c>
      <c r="F160" s="58">
        <v>11446702.005679026</v>
      </c>
    </row>
    <row r="161" spans="1:6" ht="16.5" customHeight="1">
      <c r="A161" s="56">
        <f t="shared" si="2"/>
        <v>143</v>
      </c>
      <c r="B161" s="57" cm="1">
        <f t="array" ref="B161:F161">runReactor(B160:F160,$B$2,$B$3,A160,A161,$B$8)</f>
        <v>66382.900025941402</v>
      </c>
      <c r="C161" s="57">
        <v>19.619422871658212</v>
      </c>
      <c r="D161" s="57">
        <v>1.0377181317734876E-2</v>
      </c>
      <c r="E161" s="57">
        <v>243.83143309763804</v>
      </c>
      <c r="F161" s="58">
        <v>11446697.617746036</v>
      </c>
    </row>
    <row r="162" spans="1:6" ht="16.5" customHeight="1">
      <c r="A162" s="56">
        <f t="shared" si="2"/>
        <v>144</v>
      </c>
      <c r="B162" s="57" cm="1">
        <f t="array" ref="B162:F162">runReactor(B161:F161,$B$2,$B$3,A161,A162,$B$8)</f>
        <v>66849.06344789172</v>
      </c>
      <c r="C162" s="57">
        <v>19.482602067535154</v>
      </c>
      <c r="D162" s="57">
        <v>1.0379957364902393E-2</v>
      </c>
      <c r="E162" s="57">
        <v>243.89869312703541</v>
      </c>
      <c r="F162" s="58">
        <v>11446693.352016808</v>
      </c>
    </row>
    <row r="163" spans="1:6" ht="16.5" customHeight="1">
      <c r="A163" s="56">
        <f t="shared" si="2"/>
        <v>145</v>
      </c>
      <c r="B163" s="57" cm="1">
        <f t="array" ref="B163:F163">runReactor(B162:F162,$B$2,$B$3,A162,A163,$B$8)</f>
        <v>67315.226869842038</v>
      </c>
      <c r="C163" s="57">
        <v>19.347676440349904</v>
      </c>
      <c r="D163" s="57">
        <v>1.0382692395650045E-2</v>
      </c>
      <c r="E163" s="57">
        <v>243.9650215049648</v>
      </c>
      <c r="F163" s="58">
        <v>11446689.196659427</v>
      </c>
    </row>
    <row r="164" spans="1:6" ht="16.5" customHeight="1">
      <c r="A164" s="56">
        <f t="shared" si="2"/>
        <v>146</v>
      </c>
      <c r="B164" s="57" cm="1">
        <f t="array" ref="B164:F164">runReactor(B163:F163,$B$2,$B$3,A163,A164,$B$8)</f>
        <v>67781.390291792355</v>
      </c>
      <c r="C164" s="57">
        <v>19.214606871225453</v>
      </c>
      <c r="D164" s="57">
        <v>1.0385387732402331E-2</v>
      </c>
      <c r="E164" s="57">
        <v>244.03043746152423</v>
      </c>
      <c r="F164" s="58">
        <v>11446685.141606519</v>
      </c>
    </row>
    <row r="165" spans="1:6" ht="16.5" customHeight="1">
      <c r="A165" s="56">
        <f t="shared" si="2"/>
        <v>147</v>
      </c>
      <c r="B165" s="57" cm="1">
        <f t="array" ref="B165:F165">runReactor(B164:F164,$B$2,$B$3,A164,A165,$B$8)</f>
        <v>68247.553713742673</v>
      </c>
      <c r="C165" s="57">
        <v>19.083355312557249</v>
      </c>
      <c r="D165" s="57">
        <v>1.0388044586121909E-2</v>
      </c>
      <c r="E165" s="57">
        <v>244.09495970025387</v>
      </c>
      <c r="F165" s="58">
        <v>11446681.178272314</v>
      </c>
    </row>
    <row r="166" spans="1:6" ht="16.5" customHeight="1">
      <c r="A166" s="56">
        <f t="shared" si="2"/>
        <v>148</v>
      </c>
      <c r="B166" s="57" cm="1">
        <f t="array" ref="B166:F166">runReactor(B165:F165,$B$2,$B$3,A165,A166,$B$8)</f>
        <v>68713.71713569299</v>
      </c>
      <c r="C166" s="57">
        <v>18.953884751282345</v>
      </c>
      <c r="D166" s="57">
        <v>1.039066407177742E-2</v>
      </c>
      <c r="E166" s="57">
        <v>244.15860641618025</v>
      </c>
      <c r="F166" s="58">
        <v>11446677.299315603</v>
      </c>
    </row>
    <row r="167" spans="1:6" ht="16.5" customHeight="1">
      <c r="A167" s="56">
        <f t="shared" si="2"/>
        <v>149</v>
      </c>
      <c r="B167" s="57" cm="1">
        <f t="array" ref="B167:F167">runReactor(B166:F166,$B$2,$B$3,A166,A167,$B$8)</f>
        <v>69179.880557643308</v>
      </c>
      <c r="C167" s="57">
        <v>18.826159173696794</v>
      </c>
      <c r="D167" s="57">
        <v>1.0393247221383555E-2</v>
      </c>
      <c r="E167" s="57">
        <v>244.22139531310273</v>
      </c>
      <c r="F167" s="58">
        <v>11446673.498441078</v>
      </c>
    </row>
    <row r="168" spans="1:6" ht="16.5" customHeight="1">
      <c r="A168" s="56">
        <f t="shared" si="2"/>
        <v>150</v>
      </c>
      <c r="B168" s="57" cm="1">
        <f t="array" ref="B168:F168">runReactor(B167:F167,$B$2,$B$3,A167,A168,$B$8)</f>
        <v>69646.043979593625</v>
      </c>
      <c r="C168" s="57">
        <v>18.700143531738576</v>
      </c>
      <c r="D168" s="57">
        <v>1.0395794995002412E-2</v>
      </c>
      <c r="E168" s="57">
        <v>244.28334362016</v>
      </c>
      <c r="F168" s="58">
        <v>11446669.770232851</v>
      </c>
    </row>
    <row r="169" spans="1:6" ht="16.5" customHeight="1">
      <c r="A169" s="56">
        <f t="shared" si="2"/>
        <v>151</v>
      </c>
      <c r="B169" s="57" cm="1">
        <f t="array" ref="B169:F169">runReactor(B168:F168,$B$2,$B$3,A168,A169,$B$8)</f>
        <v>70112.207401543943</v>
      </c>
      <c r="C169" s="57">
        <v>18.575803710659326</v>
      </c>
      <c r="D169" s="57">
        <v>1.0398308290039671E-2</v>
      </c>
      <c r="E169" s="57">
        <v>244.34446810771593</v>
      </c>
      <c r="F169" s="58">
        <v>11446666.110015027</v>
      </c>
    </row>
    <row r="170" spans="1:6" ht="16.5" customHeight="1">
      <c r="A170" s="56">
        <f t="shared" si="2"/>
        <v>152</v>
      </c>
      <c r="B170" s="57" cm="1">
        <f t="array" ref="B170:F170">runReactor(B169:F169,$B$2,$B$3,A169,A170,$B$8)</f>
        <v>70578.370823494261</v>
      </c>
      <c r="C170" s="57">
        <v>18.453106498013703</v>
      </c>
      <c r="D170" s="57">
        <v>1.0400787949097998E-2</v>
      </c>
      <c r="E170" s="57">
        <v>244.40478510259808</v>
      </c>
      <c r="F170" s="58">
        <v>11446662.513734693</v>
      </c>
    </row>
    <row r="171" spans="1:6" ht="16.5" customHeight="1">
      <c r="A171" s="56">
        <f t="shared" si="2"/>
        <v>153</v>
      </c>
      <c r="B171" s="57" cm="1">
        <f t="array" ref="B171:F171">runReactor(B170:F170,$B$2,$B$3,A170,A171,$B$8)</f>
        <v>71044.534245444578</v>
      </c>
      <c r="C171" s="57">
        <v>18.332019553899752</v>
      </c>
      <c r="D171" s="57">
        <v>1.0403234766634305E-2</v>
      </c>
      <c r="E171" s="57">
        <v>244.46431050272292</v>
      </c>
      <c r="F171" s="58">
        <v>11446658.97786398</v>
      </c>
    </row>
    <row r="172" spans="1:6" ht="16.5" customHeight="1">
      <c r="A172" s="56">
        <f t="shared" si="2"/>
        <v>154</v>
      </c>
      <c r="B172" s="57" cm="1">
        <f t="array" ref="B172:F172">runReactor(B171:F171,$B$2,$B$3,A171,A172,$B$8)</f>
        <v>71510.697667394896</v>
      </c>
      <c r="C172" s="57">
        <v>18.212511382388637</v>
      </c>
      <c r="D172" s="57">
        <v>1.0405649494598079E-2</v>
      </c>
      <c r="E172" s="57">
        <v>244.5230597911364</v>
      </c>
      <c r="F172" s="58">
        <v>11446655.499317933</v>
      </c>
    </row>
    <row r="173" spans="1:6" ht="16.5" customHeight="1">
      <c r="A173" s="56">
        <f t="shared" si="2"/>
        <v>155</v>
      </c>
      <c r="B173" s="57" cm="1">
        <f t="array" ref="B173:F173">runReactor(B172:F172,$B$2,$B$3,A172,A173,$B$8)</f>
        <v>71976.861089345213</v>
      </c>
      <c r="C173" s="57">
        <v>18.094551304085449</v>
      </c>
      <c r="D173" s="57">
        <v>1.0408032847223816E-2</v>
      </c>
      <c r="E173" s="57">
        <v>244.58104804950025</v>
      </c>
      <c r="F173" s="58">
        <v>11446652.075385571</v>
      </c>
    </row>
    <row r="174" spans="1:6" ht="16.5" customHeight="1">
      <c r="A174" s="56">
        <f t="shared" si="2"/>
        <v>156</v>
      </c>
      <c r="B174" s="57" cm="1">
        <f t="array" ref="B174:F174">runReactor(B173:F173,$B$2,$B$3,A173,A174,$B$8)</f>
        <v>72443.024511295531</v>
      </c>
      <c r="C174" s="57">
        <v>17.978109429767002</v>
      </c>
      <c r="D174" s="57">
        <v>1.0410385505104338E-2</v>
      </c>
      <c r="E174" s="57">
        <v>244.63828997104775</v>
      </c>
      <c r="F174" s="58">
        <v>11446648.703672178</v>
      </c>
    </row>
    <row r="175" spans="1:6" ht="16.5" customHeight="1">
      <c r="A175" s="56">
        <f t="shared" si="2"/>
        <v>157</v>
      </c>
      <c r="B175" s="57" cm="1">
        <f t="array" ref="B175:F175">runReactor(B174:F174,$B$2,$B$3,A174,A175,$B$8)</f>
        <v>72909.187933245848</v>
      </c>
      <c r="C175" s="57">
        <v>17.863156635045303</v>
      </c>
      <c r="D175" s="57">
        <v>1.0412708118670727E-2</v>
      </c>
      <c r="E175" s="57">
        <v>244.69479987303725</v>
      </c>
      <c r="F175" s="58">
        <v>11446645.382050836</v>
      </c>
    </row>
    <row r="176" spans="1:6" ht="16.5" customHeight="1">
      <c r="A176" s="56">
        <f t="shared" si="2"/>
        <v>158</v>
      </c>
      <c r="B176" s="57" cm="1">
        <f t="array" ref="B176:F176">runReactor(B175:F175,$B$2,$B$3,A175,A176,$B$8)</f>
        <v>73375.351355196166</v>
      </c>
      <c r="C176" s="57">
        <v>17.74966453600917</v>
      </c>
      <c r="D176" s="57">
        <v>1.0415001311157079E-2</v>
      </c>
      <c r="E176" s="57">
        <v>244.75059170872433</v>
      </c>
      <c r="F176" s="58">
        <v>11446642.108621776</v>
      </c>
    </row>
    <row r="177" spans="1:6" ht="16.5" customHeight="1">
      <c r="A177" s="56">
        <f t="shared" si="2"/>
        <v>159</v>
      </c>
      <c r="B177" s="57" cm="1">
        <f t="array" ref="B177:F177">runReactor(B176:F176,$B$2,$B$3,A176,A177,$B$8)</f>
        <v>73841.514777146484</v>
      </c>
      <c r="C177" s="57">
        <v>17.637605465798355</v>
      </c>
      <c r="D177" s="57">
        <v>1.0417265681147189E-2</v>
      </c>
      <c r="E177" s="57">
        <v>244.80567907887658</v>
      </c>
      <c r="F177" s="58">
        <v>11446638.881678302</v>
      </c>
    </row>
    <row r="178" spans="1:6" ht="16.5" customHeight="1">
      <c r="A178" s="56">
        <f t="shared" si="2"/>
        <v>160</v>
      </c>
      <c r="B178" s="57" cm="1">
        <f t="array" ref="B178:F178">runReactor(B177:F177,$B$2,$B$3,A177,A178,$B$8)</f>
        <v>74307.678199096801</v>
      </c>
      <c r="C178" s="57">
        <v>17.526952452067864</v>
      </c>
      <c r="D178" s="57">
        <v>1.041950180476048E-2</v>
      </c>
      <c r="E178" s="57">
        <v>244.86007524285006</v>
      </c>
      <c r="F178" s="58">
        <v>11446635.699678095</v>
      </c>
    </row>
    <row r="179" spans="1:6" ht="16.5" customHeight="1">
      <c r="A179" s="56">
        <f t="shared" si="2"/>
        <v>161</v>
      </c>
      <c r="B179" s="57" cm="1">
        <f t="array" ref="B179:F179">runReactor(B178:F178,$B$2,$B$3,A178,A179,$B$8)</f>
        <v>74773.841621047119</v>
      </c>
      <c r="C179" s="57">
        <v>17.417679195302277</v>
      </c>
      <c r="D179" s="57">
        <v>1.0421710237536172E-2</v>
      </c>
      <c r="E179" s="57">
        <v>244.91379312924903</v>
      </c>
      <c r="F179" s="58">
        <v>11446632.561219234</v>
      </c>
    </row>
    <row r="180" spans="1:6" ht="16.5" customHeight="1">
      <c r="A180" s="56">
        <f t="shared" si="2"/>
        <v>162</v>
      </c>
      <c r="B180" s="57" cm="1">
        <f t="array" ref="B180:F180">runReactor(B179:F179,$B$2,$B$3,A179,A180,$B$8)</f>
        <v>75240.005042997436</v>
      </c>
      <c r="C180" s="57">
        <v>17.309760047941989</v>
      </c>
      <c r="D180" s="57">
        <v>1.0423891516061042E-2</v>
      </c>
      <c r="E180" s="57">
        <v>244.9668453461864</v>
      </c>
      <c r="F180" s="58">
        <v>11446629.465019904</v>
      </c>
    </row>
    <row r="181" spans="1:6" ht="16.5" customHeight="1">
      <c r="A181" s="56">
        <f t="shared" si="2"/>
        <v>163</v>
      </c>
      <c r="B181" s="57" cm="1">
        <f t="array" ref="B181:F181">runReactor(B180:F180,$B$2,$B$3,A180,A181,$B$8)</f>
        <v>75706.168464947754</v>
      </c>
      <c r="C181" s="57">
        <v>17.203169994285435</v>
      </c>
      <c r="D181" s="57">
        <v>1.0426046159384297E-2</v>
      </c>
      <c r="E181" s="57">
        <v>245.01924419116244</v>
      </c>
      <c r="F181" s="58">
        <v>11446626.409901461</v>
      </c>
    </row>
    <row r="182" spans="1:6" ht="16.5" customHeight="1">
      <c r="A182" s="56">
        <f t="shared" si="2"/>
        <v>164</v>
      </c>
      <c r="B182" s="57" cm="1">
        <f t="array" ref="B182:F182">runReactor(B181:F181,$B$2,$B$3,A181,A182,$B$8)</f>
        <v>76172.331886898071</v>
      </c>
      <c r="C182" s="57">
        <v>17.097884631133315</v>
      </c>
      <c r="D182" s="57">
        <v>1.0428174670251993E-2</v>
      </c>
      <c r="E182" s="57">
        <v>245.07100166057981</v>
      </c>
      <c r="F182" s="58">
        <v>11446623.394774105</v>
      </c>
    </row>
    <row r="183" spans="1:6" ht="16.5" customHeight="1">
      <c r="A183" s="56">
        <f t="shared" si="2"/>
        <v>165</v>
      </c>
      <c r="B183" s="57" cm="1">
        <f t="array" ref="B183:F183">runReactor(B182:F182,$B$2,$B$3,A182,A183,$B$8)</f>
        <v>76638.495308848389</v>
      </c>
      <c r="C183" s="57">
        <v>16.993880149142704</v>
      </c>
      <c r="D183" s="57">
        <v>1.0430277536181245E-2</v>
      </c>
      <c r="E183" s="57">
        <v>245.12212945890886</v>
      </c>
      <c r="F183" s="58">
        <v>11446620.418624861</v>
      </c>
    </row>
    <row r="184" spans="1:6" ht="16.5" customHeight="1">
      <c r="A184" s="56">
        <f t="shared" si="2"/>
        <v>166</v>
      </c>
      <c r="B184" s="57" cm="1">
        <f t="array" ref="B184:F184">runReactor(B183:F183,$B$2,$B$3,A183,A184,$B$8)</f>
        <v>77104.658730798707</v>
      </c>
      <c r="C184" s="57">
        <v>16.891133314860184</v>
      </c>
      <c r="D184" s="57">
        <v>1.043235523041001E-2</v>
      </c>
      <c r="E184" s="57">
        <v>245.17263900751959</v>
      </c>
      <c r="F184" s="58">
        <v>11446617.480507407</v>
      </c>
    </row>
    <row r="185" spans="1:6" ht="16.5" customHeight="1">
      <c r="A185" s="56">
        <f t="shared" si="2"/>
        <v>167</v>
      </c>
      <c r="B185" s="57" cm="1">
        <f t="array" ref="B185:F185">runReactor(B184:F184,$B$2,$B$3,A184,A185,$B$8)</f>
        <v>77570.822152749024</v>
      </c>
      <c r="C185" s="57">
        <v>16.789621453405118</v>
      </c>
      <c r="D185" s="57">
        <v>1.0434408212736074E-2</v>
      </c>
      <c r="E185" s="57">
        <v>245.22254145319405</v>
      </c>
      <c r="F185" s="58">
        <v>11446614.579533532</v>
      </c>
    </row>
    <row r="186" spans="1:6" ht="16.5" customHeight="1">
      <c r="A186" s="56">
        <f t="shared" si="2"/>
        <v>168</v>
      </c>
      <c r="B186" s="57" cm="1">
        <f t="array" ref="B186:F186">runReactor(B185:F185,$B$2,$B$3,A185,A186,$B$8)</f>
        <v>78036.985574699342</v>
      </c>
      <c r="C186" s="57">
        <v>16.689322431775739</v>
      </c>
      <c r="D186" s="57">
        <v>1.04364369302569E-2</v>
      </c>
      <c r="E186" s="57">
        <v>245.2718476763325</v>
      </c>
      <c r="F186" s="58">
        <v>11446611.714865908</v>
      </c>
    </row>
    <row r="187" spans="1:6" ht="16.5" customHeight="1">
      <c r="A187" s="56">
        <f t="shared" si="2"/>
        <v>169</v>
      </c>
      <c r="B187" s="57" cm="1">
        <f t="array" ref="B187:F187">runReactor(B186:F186,$B$2,$B$3,A186,A187,$B$8)</f>
        <v>78503.148996649659</v>
      </c>
      <c r="C187" s="57">
        <v>16.59021464275142</v>
      </c>
      <c r="D187" s="57">
        <v>1.0438441818033068E-2</v>
      </c>
      <c r="E187" s="57">
        <v>245.32056829886704</v>
      </c>
      <c r="F187" s="58">
        <v>11446608.88571197</v>
      </c>
    </row>
    <row r="188" spans="1:6" ht="16.5" customHeight="1">
      <c r="A188" s="56">
        <f t="shared" si="2"/>
        <v>170</v>
      </c>
      <c r="B188" s="57" cm="1">
        <f t="array" ref="B188:F188">runReactor(B187:F187,$B$2,$B$3,A187,A188,$B$8)</f>
        <v>78969.312418599977</v>
      </c>
      <c r="C188" s="57">
        <v>16.492276989366548</v>
      </c>
      <c r="D188" s="57">
        <v>1.0440423299682399E-2</v>
      </c>
      <c r="E188" s="57">
        <v>245.36871369189325</v>
      </c>
      <c r="F188" s="58">
        <v>11446606.091318736</v>
      </c>
    </row>
    <row r="189" spans="1:6" ht="16.5" customHeight="1">
      <c r="A189" s="56">
        <f t="shared" si="2"/>
        <v>171</v>
      </c>
      <c r="B189" s="57" cm="1">
        <f t="array" ref="B189:F189">runReactor(B188:F188,$B$2,$B$3,A188,A189,$B$8)</f>
        <v>79435.475840550294</v>
      </c>
      <c r="C189" s="57">
        <v>16.395488869932173</v>
      </c>
      <c r="D189" s="57">
        <v>1.044238178791634E-2</v>
      </c>
      <c r="E189" s="57">
        <v>245.41629398303394</v>
      </c>
      <c r="F189" s="58">
        <v>11446603.330968432</v>
      </c>
    </row>
    <row r="190" spans="1:6" ht="16.5" customHeight="1">
      <c r="A190" s="56">
        <f t="shared" si="2"/>
        <v>172</v>
      </c>
      <c r="B190" s="57" cm="1">
        <f t="array" ref="B190:F190">runReactor(B189:F189,$B$2,$B$3,A189,A190,$B$8)</f>
        <v>79901.639262500612</v>
      </c>
      <c r="C190" s="57">
        <v>16.299830163582989</v>
      </c>
      <c r="D190" s="57">
        <v>1.0444317685022849E-2</v>
      </c>
      <c r="E190" s="57">
        <v>245.46331906354351</v>
      </c>
      <c r="F190" s="58">
        <v>11446600.603974739</v>
      </c>
    </row>
    <row r="191" spans="1:6" ht="16.5" customHeight="1">
      <c r="A191" s="56">
        <f t="shared" si="2"/>
        <v>173</v>
      </c>
      <c r="B191" s="57" cm="1">
        <f t="array" ref="B191:F191">runReactor(B190:F190,$B$2,$B$3,A190,A191,$B$8)</f>
        <v>80367.80268445093</v>
      </c>
      <c r="C191" s="57">
        <v>16.205281216327968</v>
      </c>
      <c r="D191" s="57">
        <v>1.0446231383309336E-2</v>
      </c>
      <c r="E191" s="57">
        <v>245.50979859516517</v>
      </c>
      <c r="F191" s="58">
        <v>11446597.909679608</v>
      </c>
    </row>
    <row r="192" spans="1:6" ht="16.5" customHeight="1">
      <c r="A192" s="56">
        <f t="shared" si="2"/>
        <v>174</v>
      </c>
      <c r="B192" s="57" cm="1">
        <f t="array" ref="B192:F192">runReactor(B191:F191,$B$2,$B$3,A191,A192,$B$8)</f>
        <v>80833.966106401247</v>
      </c>
      <c r="C192" s="57">
        <v>16.111822827584476</v>
      </c>
      <c r="D192" s="57">
        <v>1.0448123265506409E-2</v>
      </c>
      <c r="E192" s="57">
        <v>245.55574201675111</v>
      </c>
      <c r="F192" s="58">
        <v>11446595.247450586</v>
      </c>
    </row>
    <row r="193" spans="1:6" ht="16.5" customHeight="1">
      <c r="A193" s="56">
        <f t="shared" si="2"/>
        <v>175</v>
      </c>
      <c r="B193" s="57" cm="1">
        <f t="array" ref="B193:F193">runReactor(B192:F192,$B$2,$B$3,A192,A193,$B$8)</f>
        <v>81300.129528351565</v>
      </c>
      <c r="C193" s="57">
        <v>16.019436237176087</v>
      </c>
      <c r="D193" s="57">
        <v>1.0449993705138041E-2</v>
      </c>
      <c r="E193" s="57">
        <v>245.60115855065368</v>
      </c>
      <c r="F193" s="58">
        <v>11446592.616678433</v>
      </c>
    </row>
    <row r="194" spans="1:6" ht="16.5" customHeight="1">
      <c r="A194" s="56">
        <f t="shared" si="2"/>
        <v>176</v>
      </c>
      <c r="B194" s="57" cm="1">
        <f t="array" ref="B194:F194">runReactor(B193:F193,$B$2,$B$3,A193,A194,$B$8)</f>
        <v>81766.292950301882</v>
      </c>
      <c r="C194" s="57">
        <v>15.928103112775586</v>
      </c>
      <c r="D194" s="57">
        <v>1.0451843066867179E-2</v>
      </c>
      <c r="E194" s="57">
        <v>245.64605720889818</v>
      </c>
      <c r="F194" s="58">
        <v>11446590.016775159</v>
      </c>
    </row>
    <row r="195" spans="1:6" ht="16.5" customHeight="1">
      <c r="A195" s="56">
        <f t="shared" si="2"/>
        <v>177</v>
      </c>
      <c r="B195" s="57" cm="1">
        <f t="array" ref="B195:F195">runReactor(B194:F194,$B$2,$B$3,A194,A195,$B$8)</f>
        <v>82232.4563722522</v>
      </c>
      <c r="C195" s="57">
        <v>15.837805537775656</v>
      </c>
      <c r="D195" s="57">
        <v>1.045367170681254E-2</v>
      </c>
      <c r="E195" s="57">
        <v>245.69044679914578</v>
      </c>
      <c r="F195" s="58">
        <v>11446587.447172297</v>
      </c>
    </row>
    <row r="196" spans="1:6" ht="16.5" customHeight="1">
      <c r="A196" s="56">
        <f t="shared" si="2"/>
        <v>178</v>
      </c>
      <c r="B196" s="57" cm="1">
        <f t="array" ref="B196:F196">runReactor(B195:F195,$B$2,$B$3,A195,A196,$B$8)</f>
        <v>82698.619794202517</v>
      </c>
      <c r="C196" s="57">
        <v>15.748525999569884</v>
      </c>
      <c r="D196" s="57">
        <v>1.0455479972845551E-2</v>
      </c>
      <c r="E196" s="57">
        <v>245.73433593045434</v>
      </c>
      <c r="F196" s="58">
        <v>11446584.907319412</v>
      </c>
    </row>
    <row r="197" spans="1:6" ht="16.5" customHeight="1">
      <c r="A197" s="56">
        <f t="shared" si="2"/>
        <v>179</v>
      </c>
      <c r="B197" s="57" cm="1">
        <f t="array" ref="B197:F197">runReactor(B196:F196,$B$2,$B$3,A196,A197,$B$8)</f>
        <v>83164.783216152835</v>
      </c>
      <c r="C197" s="57">
        <v>15.660247378228288</v>
      </c>
      <c r="D197" s="57">
        <v>1.0457268204869065E-2</v>
      </c>
      <c r="E197" s="57">
        <v>245.77773301884537</v>
      </c>
      <c r="F197" s="58">
        <v>11446582.396682829</v>
      </c>
    </row>
    <row r="198" spans="1:6" ht="16.5" customHeight="1">
      <c r="A198" s="56">
        <f t="shared" si="2"/>
        <v>180</v>
      </c>
      <c r="B198" s="57" cm="1">
        <f t="array" ref="B198:F198">runReactor(B197:F197,$B$2,$B$3,A197,A198,$B$8)</f>
        <v>83630.946638103153</v>
      </c>
      <c r="C198" s="57">
        <v>15.57295293555182</v>
      </c>
      <c r="D198" s="57">
        <v>1.0459036735077176E-2</v>
      </c>
      <c r="E198" s="57">
        <v>245.82064629268456</v>
      </c>
      <c r="F198" s="58">
        <v>11446579.914744478</v>
      </c>
    </row>
    <row r="199" spans="1:6" ht="16.5" customHeight="1">
      <c r="A199" s="56">
        <f t="shared" si="2"/>
        <v>181</v>
      </c>
      <c r="B199" s="57" cm="1">
        <f t="array" ref="B199:F199">runReactor(B198:F198,$B$2,$B$3,A198,A199,$B$8)</f>
        <v>84097.11006005347</v>
      </c>
      <c r="C199" s="57">
        <v>15.486626304491045</v>
      </c>
      <c r="D199" s="57">
        <v>1.0460785888200508E-2</v>
      </c>
      <c r="E199" s="57">
        <v>245.86308379788358</v>
      </c>
      <c r="F199" s="58">
        <v>11446577.461000934</v>
      </c>
    </row>
    <row r="200" spans="1:6" ht="16.5" customHeight="1">
      <c r="A200" s="56">
        <f t="shared" si="2"/>
        <v>182</v>
      </c>
      <c r="B200" s="57" cm="1">
        <f t="array" ref="B200:F200">runReactor(B199:F199,$B$2,$B$3,A199,A200,$B$8)</f>
        <v>84563.273482003788</v>
      </c>
      <c r="C200" s="57">
        <v>15.401251478914959</v>
      </c>
      <c r="D200" s="57">
        <v>1.0462515981739744E-2</v>
      </c>
      <c r="E200" s="57">
        <v>245.90505340292952</v>
      </c>
      <c r="F200" s="58">
        <v>11446575.034962531</v>
      </c>
    </row>
    <row r="201" spans="1:6" ht="16.5" customHeight="1">
      <c r="A201" s="56">
        <f t="shared" si="2"/>
        <v>183</v>
      </c>
      <c r="B201" s="57" cm="1">
        <f t="array" ref="B201:F201">runReactor(B200:F200,$B$2,$B$3,A200,A201,$B$8)</f>
        <v>85029.436903954105</v>
      </c>
      <c r="C201" s="57">
        <v>15.31681280371653</v>
      </c>
      <c r="D201" s="57">
        <v>1.0464227326185198E-2</v>
      </c>
      <c r="E201" s="57">
        <v>245.9465628037494</v>
      </c>
      <c r="F201" s="58">
        <v>11446572.636152612</v>
      </c>
    </row>
    <row r="202" spans="1:6" ht="16.5" customHeight="1">
      <c r="A202" s="56">
        <f t="shared" si="2"/>
        <v>184</v>
      </c>
      <c r="B202" s="57" cm="1">
        <f t="array" ref="B202:F202">runReactor(B201:F201,$B$2,$B$3,A201,A202,$B$8)</f>
        <v>85495.600325904423</v>
      </c>
      <c r="C202" s="57">
        <v>15.233294965242052</v>
      </c>
      <c r="D202" s="57">
        <v>1.0465920225225267E-2</v>
      </c>
      <c r="E202" s="57">
        <v>245.98761952841443</v>
      </c>
      <c r="F202" s="58">
        <v>11446570.264106832</v>
      </c>
    </row>
    <row r="203" spans="1:6" ht="16.5" customHeight="1">
      <c r="A203" s="56">
        <f t="shared" si="2"/>
        <v>185</v>
      </c>
      <c r="B203" s="57" cm="1">
        <f t="array" ref="B203:F203">runReactor(B202:F202,$B$2,$B$3,A202,A203,$B$8)</f>
        <v>85961.76374785474</v>
      </c>
      <c r="C203" s="57">
        <v>15.15068298203192</v>
      </c>
      <c r="D203" s="57">
        <v>1.0467594975946987E-2</v>
      </c>
      <c r="E203" s="57">
        <v>246.02823094169148</v>
      </c>
      <c r="F203" s="58">
        <v>11446567.91837257</v>
      </c>
    </row>
    <row r="204" spans="1:6" ht="16.5" customHeight="1">
      <c r="A204" s="56">
        <f t="shared" si="2"/>
        <v>186</v>
      </c>
      <c r="B204" s="57" cm="1">
        <f t="array" ref="B204:F204">runReactor(B203:F203,$B$2,$B$3,A203,A204,$B$8)</f>
        <v>86427.927169805058</v>
      </c>
      <c r="C204" s="57">
        <v>15.068962195861236</v>
      </c>
      <c r="D204" s="57">
        <v>1.0469251869025507E-2</v>
      </c>
      <c r="E204" s="57">
        <v>246.06840424944841</v>
      </c>
      <c r="F204" s="58">
        <v>11446565.598508382</v>
      </c>
    </row>
    <row r="205" spans="1:6" ht="16.5" customHeight="1">
      <c r="A205" s="56">
        <f t="shared" si="2"/>
        <v>187</v>
      </c>
      <c r="B205" s="57" cm="1">
        <f t="array" ref="B205:F205">runReactor(B204:F204,$B$2,$B$3,A204,A205,$B$8)</f>
        <v>86894.090591755375</v>
      </c>
      <c r="C205" s="57">
        <v>14.988118263068822</v>
      </c>
      <c r="D205" s="57">
        <v>1.0470891188905951E-2</v>
      </c>
      <c r="E205" s="57">
        <v>246.10814650291562</v>
      </c>
      <c r="F205" s="58">
        <v>11446563.304083489</v>
      </c>
    </row>
    <row r="206" spans="1:6" ht="16.5" customHeight="1">
      <c r="A206" s="56">
        <f t="shared" si="2"/>
        <v>188</v>
      </c>
      <c r="B206" s="57" cm="1">
        <f t="array" ref="B206:F206">runReactor(B205:F205,$B$2,$B$3,A205,A206,$B$8)</f>
        <v>87360.254013705693</v>
      </c>
      <c r="C206" s="57">
        <v>14.908137146163899</v>
      </c>
      <c r="D206" s="57">
        <v>1.0472513213977873E-2</v>
      </c>
      <c r="E206" s="57">
        <v>246.1474646028131</v>
      </c>
      <c r="F206" s="58">
        <v>11446561.03467733</v>
      </c>
    </row>
    <row r="207" spans="1:6" ht="16.5" customHeight="1">
      <c r="A207" s="56">
        <f t="shared" si="2"/>
        <v>189</v>
      </c>
      <c r="B207" s="57" cm="1">
        <f t="array" ref="B207:F207">runReactor(B206:F206,$B$2,$B$3,A206,A207,$B$8)</f>
        <v>87826.417435656011</v>
      </c>
      <c r="C207" s="57">
        <v>14.829005105700141</v>
      </c>
      <c r="D207" s="57">
        <v>1.0474118216742621E-2</v>
      </c>
      <c r="E207" s="57">
        <v>246.18636530334445</v>
      </c>
      <c r="F207" s="58">
        <v>11446558.789879194</v>
      </c>
    </row>
    <row r="208" spans="1:6" ht="16.5" customHeight="1">
      <c r="A208" s="56">
        <f t="shared" si="2"/>
        <v>190</v>
      </c>
      <c r="B208" s="57" cm="1">
        <f t="array" ref="B208:F208">runReactor(B207:F207,$B$2,$B$3,A207,A208,$B$8)</f>
        <v>88292.580857606328</v>
      </c>
      <c r="C208" s="57">
        <v>14.750708692407178</v>
      </c>
      <c r="D208" s="57">
        <v>1.0475706463973906E-2</v>
      </c>
      <c r="E208" s="57">
        <v>246.22485521606518</v>
      </c>
      <c r="F208" s="58">
        <v>11446556.569287779</v>
      </c>
    </row>
    <row r="209" spans="1:6" ht="16.5" customHeight="1">
      <c r="A209" s="56">
        <f t="shared" si="2"/>
        <v>191</v>
      </c>
      <c r="B209" s="57" cm="1">
        <f t="array" ref="B209:F209">runReactor(B208:F208,$B$2,$B$3,A208,A209,$B$8)</f>
        <v>88758.744279556646</v>
      </c>
      <c r="C209" s="57">
        <v>14.673234739570081</v>
      </c>
      <c r="D209" s="57">
        <v>1.0477278216872665E-2</v>
      </c>
      <c r="E209" s="57">
        <v>246.26294081362846</v>
      </c>
      <c r="F209" s="58">
        <v>11446554.372510908</v>
      </c>
    </row>
    <row r="210" spans="1:6" ht="16.5" customHeight="1">
      <c r="A210" s="56">
        <f t="shared" si="2"/>
        <v>192</v>
      </c>
      <c r="B210" s="57" cm="1">
        <f t="array" ref="B210:F210">runReactor(B209:F209,$B$2,$B$3,A209,A210,$B$8)</f>
        <v>89224.907701506963</v>
      </c>
      <c r="C210" s="57">
        <v>14.596570355647813</v>
      </c>
      <c r="D210" s="57">
        <v>1.0478833731215184E-2</v>
      </c>
      <c r="E210" s="57">
        <v>246.30062843341449</v>
      </c>
      <c r="F210" s="58">
        <v>11446552.199165203</v>
      </c>
    </row>
    <row r="211" spans="1:6" ht="16.5" customHeight="1">
      <c r="A211" s="56">
        <f t="shared" si="2"/>
        <v>193</v>
      </c>
      <c r="B211" s="57" cm="1">
        <f t="array" ref="B211:F211">runReactor(B210:F210,$B$2,$B$3,A210,A211,$B$8)</f>
        <v>89691.071123457281</v>
      </c>
      <c r="C211" s="57">
        <v>14.520702917121802</v>
      </c>
      <c r="D211" s="57">
        <v>1.0480373257497407E-2</v>
      </c>
      <c r="E211" s="57">
        <v>246.33792428104567</v>
      </c>
      <c r="F211" s="58">
        <v>11446550.048875745</v>
      </c>
    </row>
    <row r="212" spans="1:6" ht="16.5" customHeight="1">
      <c r="A212" s="56">
        <f t="shared" ref="A212:A275" si="3">A211+1</f>
        <v>194</v>
      </c>
      <c r="B212" s="57" cm="1">
        <f t="array" ref="B212:F212">runReactor(B211:F211,$B$2,$B$3,A211,A212,$B$8)</f>
        <v>90157.234545407598</v>
      </c>
      <c r="C212" s="57">
        <v>14.445620061566506</v>
      </c>
      <c r="D212" s="57">
        <v>1.0481897041073343E-2</v>
      </c>
      <c r="E212" s="57">
        <v>246.3748344337933</v>
      </c>
      <c r="F212" s="58">
        <v>11446547.921275826</v>
      </c>
    </row>
    <row r="213" spans="1:6" ht="16.5" customHeight="1">
      <c r="A213" s="56">
        <f t="shared" si="3"/>
        <v>195</v>
      </c>
      <c r="B213" s="57" cm="1">
        <f t="array" ref="B213:F213">runReactor(B212:F212,$B$2,$B$3,A212,A213,$B$8)</f>
        <v>90623.397967357916</v>
      </c>
      <c r="C213" s="57">
        <v>14.371309680933823</v>
      </c>
      <c r="D213" s="57">
        <v>1.0483405322287568E-2</v>
      </c>
      <c r="E213" s="57">
        <v>246.41136484387854</v>
      </c>
      <c r="F213" s="58">
        <v>11446545.816006688</v>
      </c>
    </row>
    <row r="214" spans="1:6" ht="16.5" customHeight="1">
      <c r="A214" s="56">
        <f t="shared" si="3"/>
        <v>196</v>
      </c>
      <c r="B214" s="57" cm="1">
        <f t="array" ref="B214:F214">runReactor(B213:F213,$B$2,$B$3,A213,A214,$B$8)</f>
        <v>91089.561389308234</v>
      </c>
      <c r="C214" s="57">
        <v>14.297759915043686</v>
      </c>
      <c r="D214" s="57">
        <v>1.0484898336606185E-2</v>
      </c>
      <c r="E214" s="57">
        <v>246.44752134167283</v>
      </c>
      <c r="F214" s="58">
        <v>11446543.732717285</v>
      </c>
    </row>
    <row r="215" spans="1:6" ht="16.5" customHeight="1">
      <c r="A215" s="56">
        <f t="shared" si="3"/>
        <v>197</v>
      </c>
      <c r="B215" s="57" cm="1">
        <f t="array" ref="B215:F215">runReactor(B214:F214,$B$2,$B$3,A214,A215,$B$8)</f>
        <v>91555.724811258551</v>
      </c>
      <c r="C215" s="57">
        <v>14.224959145273607</v>
      </c>
      <c r="D215" s="57">
        <v>1.0486376314740474E-2</v>
      </c>
      <c r="E215" s="57">
        <v>246.4833096387998</v>
      </c>
      <c r="F215" s="58">
        <v>11446541.671064036</v>
      </c>
    </row>
    <row r="216" spans="1:6" ht="16.5" customHeight="1">
      <c r="A216" s="56">
        <f t="shared" si="3"/>
        <v>198</v>
      </c>
      <c r="B216" s="57" cm="1">
        <f t="array" ref="B216:F216">runReactor(B215:F215,$B$2,$B$3,A215,A216,$B$8)</f>
        <v>92021.888233208869</v>
      </c>
      <c r="C216" s="57">
        <v>14.152895988440008</v>
      </c>
      <c r="D216" s="57">
        <v>1.0487839482768217E-2</v>
      </c>
      <c r="E216" s="57">
        <v>246.51873533114286</v>
      </c>
      <c r="F216" s="58">
        <v>11446539.630710604</v>
      </c>
    </row>
    <row r="217" spans="1:6" ht="16.5" customHeight="1">
      <c r="A217" s="56">
        <f t="shared" si="3"/>
        <v>199</v>
      </c>
      <c r="B217" s="57" cm="1">
        <f t="array" ref="B217:F217">runReactor(B216:F216,$B$2,$B$3,A216,A217,$B$8)</f>
        <v>92488.051655159186</v>
      </c>
      <c r="C217" s="57">
        <v>14.081559290864588</v>
      </c>
      <c r="D217" s="57">
        <v>1.0489288062249623E-2</v>
      </c>
      <c r="E217" s="57">
        <v>246.55380390176262</v>
      </c>
      <c r="F217" s="58">
        <v>11446537.611327687</v>
      </c>
    </row>
    <row r="218" spans="1:6" ht="16.5" customHeight="1">
      <c r="A218" s="56">
        <f t="shared" si="3"/>
        <v>200</v>
      </c>
      <c r="B218" s="57" cm="1">
        <f t="array" ref="B218:F218">runReactor(B217:F217,$B$2,$B$3,A217,A218,$B$8)</f>
        <v>92954.215077109504</v>
      </c>
      <c r="C218" s="57">
        <v>14.010938122619256</v>
      </c>
      <c r="D218" s="57">
        <v>1.0490722270342444E-2</v>
      </c>
      <c r="E218" s="57">
        <v>246.58852072372625</v>
      </c>
      <c r="F218" s="58">
        <v>11446535.612592857</v>
      </c>
    </row>
    <row r="219" spans="1:6" ht="16.5" customHeight="1">
      <c r="A219" s="56">
        <f t="shared" si="3"/>
        <v>201</v>
      </c>
      <c r="B219" s="57" cm="1">
        <f t="array" ref="B219:F219">runReactor(B218:F218,$B$2,$B$3,A218,A219,$B$8)</f>
        <v>93420.378499059821</v>
      </c>
      <c r="C219" s="57">
        <v>13.941021771943396</v>
      </c>
      <c r="D219" s="57">
        <v>1.0492142319910651E-2</v>
      </c>
      <c r="E219" s="57">
        <v>246.62289106285095</v>
      </c>
      <c r="F219" s="58">
        <v>11446533.634190315</v>
      </c>
    </row>
    <row r="220" spans="1:6" ht="16.5" customHeight="1">
      <c r="A220" s="56">
        <f t="shared" si="3"/>
        <v>202</v>
      </c>
      <c r="B220" s="57" cm="1">
        <f t="array" ref="B220:F220">runReactor(B219:F219,$B$2,$B$3,A219,A220,$B$8)</f>
        <v>93886.541921010139</v>
      </c>
      <c r="C220" s="57">
        <v>13.871799739827447</v>
      </c>
      <c r="D220" s="57">
        <v>1.0493548419630011E-2</v>
      </c>
      <c r="E220" s="57">
        <v>246.65692008036763</v>
      </c>
      <c r="F220" s="58">
        <v>11446531.675810741</v>
      </c>
    </row>
    <row r="221" spans="1:6" ht="16.5" customHeight="1">
      <c r="A221" s="56">
        <f t="shared" si="3"/>
        <v>203</v>
      </c>
      <c r="B221" s="57" cm="1">
        <f t="array" ref="B221:F221">runReactor(B220:F220,$B$2,$B$3,A220,A221,$B$8)</f>
        <v>94352.705342960457</v>
      </c>
      <c r="C221" s="57">
        <v>13.803261734757042</v>
      </c>
      <c r="D221" s="57">
        <v>1.0494940774092514E-2</v>
      </c>
      <c r="E221" s="57">
        <v>246.69061283550394</v>
      </c>
      <c r="F221" s="58">
        <v>11446529.73715112</v>
      </c>
    </row>
    <row r="222" spans="1:6" ht="16.5" customHeight="1">
      <c r="A222" s="56">
        <f t="shared" si="3"/>
        <v>204</v>
      </c>
      <c r="B222" s="57" cm="1">
        <f t="array" ref="B222:F222">runReactor(B221:F221,$B$2,$B$3,A221,A222,$B$8)</f>
        <v>94818.868764910774</v>
      </c>
      <c r="C222" s="57">
        <v>13.73539766761222</v>
      </c>
      <c r="D222" s="57">
        <v>1.0496319583905067E-2</v>
      </c>
      <c r="E222" s="57">
        <v>246.72397428799232</v>
      </c>
      <c r="F222" s="58">
        <v>11446527.81791454</v>
      </c>
    </row>
    <row r="223" spans="1:6" ht="16.5" customHeight="1">
      <c r="A223" s="56">
        <f t="shared" si="3"/>
        <v>205</v>
      </c>
      <c r="B223" s="57" cm="1">
        <f t="array" ref="B223:F223">runReactor(B222:F222,$B$2,$B$3,A222,A223,$B$8)</f>
        <v>95285.032186861092</v>
      </c>
      <c r="C223" s="57">
        <v>13.668197646716333</v>
      </c>
      <c r="D223" s="57">
        <v>1.0497685045788012E-2</v>
      </c>
      <c r="E223" s="57">
        <v>246.75700930050311</v>
      </c>
      <c r="F223" s="58">
        <v>11446525.917810101</v>
      </c>
    </row>
    <row r="224" spans="1:6" ht="16.5" customHeight="1">
      <c r="A224" s="56">
        <f t="shared" si="3"/>
        <v>206</v>
      </c>
      <c r="B224" s="57" cm="1">
        <f t="array" ref="B224:F224">runReactor(B223:F223,$B$2,$B$3,A223,A224,$B$8)</f>
        <v>95751.195608811409</v>
      </c>
      <c r="C224" s="57">
        <v>13.601651973029639</v>
      </c>
      <c r="D224" s="57">
        <v>1.0499037352666874E-2</v>
      </c>
      <c r="E224" s="57">
        <v>246.78972264100841</v>
      </c>
      <c r="F224" s="58">
        <v>11446524.036552686</v>
      </c>
    </row>
    <row r="225" spans="1:6" ht="16.5" customHeight="1">
      <c r="A225" s="56">
        <f t="shared" si="3"/>
        <v>207</v>
      </c>
      <c r="B225" s="57" cm="1">
        <f t="array" ref="B225:F225">runReactor(B224:F224,$B$2,$B$3,A224,A225,$B$8)</f>
        <v>96217.359030761727</v>
      </c>
      <c r="C225" s="57">
        <v>13.535751135482577</v>
      </c>
      <c r="D225" s="57">
        <v>1.0500376693766482E-2</v>
      </c>
      <c r="E225" s="57">
        <v>246.82211898507572</v>
      </c>
      <c r="F225" s="58">
        <v>11446522.173862865</v>
      </c>
    </row>
    <row r="226" spans="1:6" ht="16.5" customHeight="1">
      <c r="A226" s="56">
        <f t="shared" si="3"/>
        <v>208</v>
      </c>
      <c r="B226" s="57" cm="1">
        <f t="array" ref="B226:F226">runReactor(B225:F225,$B$2,$B$3,A225,A226,$B$8)</f>
        <v>96683.522452712044</v>
      </c>
      <c r="C226" s="57">
        <v>13.470485806444087</v>
      </c>
      <c r="D226" s="57">
        <v>1.0501703254696907E-2</v>
      </c>
      <c r="E226" s="57">
        <v>246.85420291809493</v>
      </c>
      <c r="F226" s="58">
        <v>11446520.329466704</v>
      </c>
    </row>
    <row r="227" spans="1:6" ht="16.5" customHeight="1">
      <c r="A227" s="56">
        <f t="shared" si="3"/>
        <v>209</v>
      </c>
      <c r="B227" s="57" cm="1">
        <f t="array" ref="B227:F227">runReactor(B226:F226,$B$2,$B$3,A226,A227,$B$8)</f>
        <v>97149.685874662362</v>
      </c>
      <c r="C227" s="57">
        <v>13.405846837320363</v>
      </c>
      <c r="D227" s="57">
        <v>1.0503017217540987E-2</v>
      </c>
      <c r="E227" s="57">
        <v>246.88597893744341</v>
      </c>
      <c r="F227" s="58">
        <v>11446518.503095692</v>
      </c>
    </row>
    <row r="228" spans="1:6" ht="16.5" customHeight="1">
      <c r="A228" s="56">
        <f t="shared" si="3"/>
        <v>210</v>
      </c>
      <c r="B228" s="57" cm="1">
        <f t="array" ref="B228:F228">runReactor(B227:F227,$B$2,$B$3,A227,A228,$B$8)</f>
        <v>97615.84929661268</v>
      </c>
      <c r="C228" s="57">
        <v>13.341825254279749</v>
      </c>
      <c r="D228" s="57">
        <v>1.0504318760938342E-2</v>
      </c>
      <c r="E228" s="57">
        <v>246.91745145458646</v>
      </c>
      <c r="F228" s="58">
        <v>11446516.694486516</v>
      </c>
    </row>
    <row r="229" spans="1:6" ht="16.5" customHeight="1">
      <c r="A229" s="56">
        <f t="shared" si="3"/>
        <v>211</v>
      </c>
      <c r="B229" s="57" cm="1">
        <f t="array" ref="B229:F229">runReactor(B228:F228,$B$2,$B$3,A228,A229,$B$8)</f>
        <v>98082.012718562997</v>
      </c>
      <c r="C229" s="57">
        <v>13.27841225409958</v>
      </c>
      <c r="D229" s="57">
        <v>1.0505608060164998E-2</v>
      </c>
      <c r="E229" s="57">
        <v>246.94862479711932</v>
      </c>
      <c r="F229" s="58">
        <v>11446514.903381037</v>
      </c>
    </row>
    <row r="230" spans="1:6" ht="16.5" customHeight="1">
      <c r="A230" s="56">
        <f t="shared" si="3"/>
        <v>212</v>
      </c>
      <c r="B230" s="57" cm="1">
        <f t="array" ref="B230:F230">runReactor(B229:F229,$B$2,$B$3,A229,A230,$B$8)</f>
        <v>98548.176140513315</v>
      </c>
      <c r="C230" s="57">
        <v>13.215599200130818</v>
      </c>
      <c r="D230" s="57">
        <v>1.0506885287213668E-2</v>
      </c>
      <c r="E230" s="57">
        <v>246.97950321075101</v>
      </c>
      <c r="F230" s="58">
        <v>11446513.129526071</v>
      </c>
    </row>
    <row r="231" spans="1:6" ht="16.5" customHeight="1">
      <c r="A231" s="56">
        <f t="shared" si="3"/>
        <v>213</v>
      </c>
      <c r="B231" s="57" cm="1">
        <f t="array" ref="B231:F231">runReactor(B230:F230,$B$2,$B$3,A230,A231,$B$8)</f>
        <v>99014.339562463632</v>
      </c>
      <c r="C231" s="57">
        <v>13.153377618376771</v>
      </c>
      <c r="D231" s="57">
        <v>1.0508150610870253E-2</v>
      </c>
      <c r="E231" s="57">
        <v>247.01009086123221</v>
      </c>
      <c r="F231" s="58">
        <v>11446511.372673331</v>
      </c>
    </row>
    <row r="232" spans="1:6" ht="16.5" customHeight="1">
      <c r="A232" s="56">
        <f t="shared" si="3"/>
        <v>214</v>
      </c>
      <c r="B232" s="57" cm="1">
        <f t="array" ref="B232:F232">runReactor(B231:F231,$B$2,$B$3,A231,A232,$B$8)</f>
        <v>99480.50298441395</v>
      </c>
      <c r="C232" s="57">
        <v>13.09173919368204</v>
      </c>
      <c r="D232" s="57">
        <v>1.0509404196786509E-2</v>
      </c>
      <c r="E232" s="57">
        <v>247.04039183622825</v>
      </c>
      <c r="F232" s="58">
        <v>11446509.632579271</v>
      </c>
    </row>
    <row r="233" spans="1:6" ht="16.5" customHeight="1">
      <c r="A233" s="56">
        <f t="shared" si="3"/>
        <v>215</v>
      </c>
      <c r="B233" s="57" cm="1">
        <f t="array" ref="B233:F233">runReactor(B232:F232,$B$2,$B$3,A232,A233,$B$8)</f>
        <v>99946.666406364267</v>
      </c>
      <c r="C233" s="57">
        <v>13.030675766028065</v>
      </c>
      <c r="D233" s="57">
        <v>1.0510646207555431E-2</v>
      </c>
      <c r="E233" s="57">
        <v>247.07041014713994</v>
      </c>
      <c r="F233" s="58">
        <v>11446507.909004973</v>
      </c>
    </row>
    <row r="234" spans="1:6" ht="16.5" customHeight="1">
      <c r="A234" s="56">
        <f t="shared" si="3"/>
        <v>216</v>
      </c>
      <c r="B234" s="57" cm="1">
        <f t="array" ref="B234:F234">runReactor(B233:F233,$B$2,$B$3,A233,A234,$B$8)</f>
        <v>100412.82982831459</v>
      </c>
      <c r="C234" s="57">
        <v>12.970179326931978</v>
      </c>
      <c r="D234" s="57">
        <v>1.0511876802779282E-2</v>
      </c>
      <c r="E234" s="57">
        <v>247.10014973087485</v>
      </c>
      <c r="F234" s="58">
        <v>11446506.201716077</v>
      </c>
    </row>
    <row r="235" spans="1:6" ht="16.5" customHeight="1">
      <c r="A235" s="56">
        <f t="shared" si="3"/>
        <v>217</v>
      </c>
      <c r="B235" s="57" cm="1">
        <f t="array" ref="B235:F235">runReactor(B234:F234,$B$2,$B$3,A234,A235,$B$8)</f>
        <v>100878.9932502649</v>
      </c>
      <c r="C235" s="57">
        <v>12.910242015945148</v>
      </c>
      <c r="D235" s="57">
        <v>1.0513096139139934E-2</v>
      </c>
      <c r="E235" s="57">
        <v>247.12961445156867</v>
      </c>
      <c r="F235" s="58">
        <v>11446504.51048262</v>
      </c>
    </row>
    <row r="236" spans="1:6" ht="16.5" customHeight="1">
      <c r="A236" s="56">
        <f t="shared" si="3"/>
        <v>218</v>
      </c>
      <c r="B236" s="57" cm="1">
        <f t="array" ref="B236:F236">runReactor(B235:F235,$B$2,$B$3,A235,A236,$B$8)</f>
        <v>101345.15667221522</v>
      </c>
      <c r="C236" s="57">
        <v>12.850856117248572</v>
      </c>
      <c r="D236" s="57">
        <v>1.0514304370463199E-2</v>
      </c>
      <c r="E236" s="57">
        <v>247.15880810225735</v>
      </c>
      <c r="F236" s="58">
        <v>11446502.835078968</v>
      </c>
    </row>
    <row r="237" spans="1:6" ht="16.5" customHeight="1">
      <c r="A237" s="56">
        <f t="shared" si="3"/>
        <v>219</v>
      </c>
      <c r="B237" s="57" cm="1">
        <f t="array" ref="B237:F237">runReactor(B236:F236,$B$2,$B$3,A236,A237,$B$8)</f>
        <v>101811.32009416554</v>
      </c>
      <c r="C237" s="57">
        <v>12.792014056341575</v>
      </c>
      <c r="D237" s="57">
        <v>1.0515501647784939E-2</v>
      </c>
      <c r="E237" s="57">
        <v>247.18773440650597</v>
      </c>
      <c r="F237" s="58">
        <v>11446501.1752837</v>
      </c>
    </row>
    <row r="238" spans="1:6" ht="16.5" customHeight="1">
      <c r="A238" s="56">
        <f t="shared" si="3"/>
        <v>220</v>
      </c>
      <c r="B238" s="57" cm="1">
        <f t="array" ref="B238:F238">runReactor(B237:F237,$B$2,$B$3,A237,A238,$B$8)</f>
        <v>102277.48351611586</v>
      </c>
      <c r="C238" s="57">
        <v>12.733708396821223</v>
      </c>
      <c r="D238" s="57">
        <v>1.0516688119415064E-2</v>
      </c>
      <c r="E238" s="57">
        <v>247.21639701999226</v>
      </c>
      <c r="F238" s="58">
        <v>11446499.530879494</v>
      </c>
    </row>
    <row r="239" spans="1:6" ht="16.5" customHeight="1">
      <c r="A239" s="56">
        <f t="shared" si="3"/>
        <v>221</v>
      </c>
      <c r="B239" s="57" cm="1">
        <f t="array" ref="B239:F239">runReactor(B238:F238,$B$2,$B$3,A238,A239,$B$8)</f>
        <v>102743.64693806617</v>
      </c>
      <c r="C239" s="57">
        <v>12.675931837249358</v>
      </c>
      <c r="D239" s="57">
        <v>1.0517863930997278E-2</v>
      </c>
      <c r="E239" s="57">
        <v>247.24479953204604</v>
      </c>
      <c r="F239" s="58">
        <v>11446497.901653066</v>
      </c>
    </row>
    <row r="240" spans="1:6" ht="16.5" customHeight="1">
      <c r="A240" s="56">
        <f t="shared" si="3"/>
        <v>222</v>
      </c>
      <c r="B240" s="57" cm="1">
        <f t="array" ref="B240:F240">runReactor(B239:F239,$B$2,$B$3,A239,A240,$B$8)</f>
        <v>103209.81036001649</v>
      </c>
      <c r="C240" s="57">
        <v>12.61867720810457</v>
      </c>
      <c r="D240" s="57">
        <v>1.0519029225569018E-2</v>
      </c>
      <c r="E240" s="57">
        <v>247.27294546714816</v>
      </c>
      <c r="F240" s="58">
        <v>11446496.287395069</v>
      </c>
    </row>
    <row r="241" spans="1:6" ht="16.5" customHeight="1">
      <c r="A241" s="56">
        <f t="shared" si="3"/>
        <v>223</v>
      </c>
      <c r="B241" s="57" cm="1">
        <f t="array" ref="B241:F241">runReactor(B240:F240,$B$2,$B$3,A240,A241,$B$8)</f>
        <v>103675.97378196681</v>
      </c>
      <c r="C241" s="57">
        <v>12.561937468816339</v>
      </c>
      <c r="D241" s="57">
        <v>1.0520184143619625E-2</v>
      </c>
      <c r="E241" s="57">
        <v>247.30083828638817</v>
      </c>
      <c r="F241" s="58">
        <v>11446494.687899973</v>
      </c>
    </row>
    <row r="242" spans="1:6" ht="16.5" customHeight="1">
      <c r="A242" s="56">
        <f t="shared" si="3"/>
        <v>224</v>
      </c>
      <c r="B242" s="57" cm="1">
        <f t="array" ref="B242:F242">runReactor(B241:F241,$B$2,$B$3,A241,A242,$B$8)</f>
        <v>104142.13720391713</v>
      </c>
      <c r="C242" s="57">
        <v>12.50570570487891</v>
      </c>
      <c r="D242" s="57">
        <v>1.0521328823147037E-2</v>
      </c>
      <c r="E242" s="57">
        <v>247.32848138888272</v>
      </c>
      <c r="F242" s="58">
        <v>11446493.102966007</v>
      </c>
    </row>
    <row r="243" spans="1:6" ht="16.5" customHeight="1">
      <c r="A243" s="56">
        <f t="shared" si="3"/>
        <v>225</v>
      </c>
      <c r="B243" s="57" cm="1">
        <f t="array" ref="B243:F243">runReactor(B242:F242,$B$2,$B$3,A242,A243,$B$8)</f>
        <v>104608.30062586744</v>
      </c>
      <c r="C243" s="57">
        <v>12.449975125042268</v>
      </c>
      <c r="D243" s="57">
        <v>1.0522463399712911E-2</v>
      </c>
      <c r="E243" s="57">
        <v>247.35587811315744</v>
      </c>
      <c r="F243" s="58">
        <v>11446491.532395078</v>
      </c>
    </row>
    <row r="244" spans="1:6" ht="16.5" customHeight="1">
      <c r="A244" s="56">
        <f t="shared" si="3"/>
        <v>226</v>
      </c>
      <c r="B244" s="57" cm="1">
        <f t="array" ref="B244:F244">runReactor(B243:F243,$B$2,$B$3,A243,A244,$B$8)</f>
        <v>105074.46404781776</v>
      </c>
      <c r="C244" s="57">
        <v>12.394739058577967</v>
      </c>
      <c r="D244" s="57">
        <v>1.0523588006495419E-2</v>
      </c>
      <c r="E244" s="57">
        <v>247.38303173849039</v>
      </c>
      <c r="F244" s="58">
        <v>11446489.975992639</v>
      </c>
    </row>
    <row r="245" spans="1:6" ht="16.5" customHeight="1">
      <c r="A245" s="56">
        <f t="shared" si="3"/>
        <v>227</v>
      </c>
      <c r="B245" s="57" cm="1">
        <f t="array" ref="B245:F245">runReactor(B244:F244,$B$2,$B$3,A244,A245,$B$8)</f>
        <v>105540.62746976808</v>
      </c>
      <c r="C245" s="57">
        <v>12.339990952617329</v>
      </c>
      <c r="D245" s="57">
        <v>1.0524702774342583E-2</v>
      </c>
      <c r="E245" s="57">
        <v>247.40994548622052</v>
      </c>
      <c r="F245" s="58">
        <v>11446488.433567684</v>
      </c>
    </row>
    <row r="246" spans="1:6" ht="16.5" customHeight="1">
      <c r="A246" s="56">
        <f t="shared" si="3"/>
        <v>228</v>
      </c>
      <c r="B246" s="57" cm="1">
        <f t="array" ref="B246:F246">runReactor(B245:F245,$B$2,$B$3,A245,A246,$B$8)</f>
        <v>106006.7908917184</v>
      </c>
      <c r="C246" s="57">
        <v>12.285724369559983</v>
      </c>
      <c r="D246" s="57">
        <v>1.0525807831821674E-2</v>
      </c>
      <c r="E246" s="57">
        <v>247.43662252102212</v>
      </c>
      <c r="F246" s="58">
        <v>11446486.904932614</v>
      </c>
    </row>
    <row r="247" spans="1:6" ht="16.5" customHeight="1">
      <c r="A247" s="56">
        <f t="shared" si="3"/>
        <v>229</v>
      </c>
      <c r="B247" s="57" cm="1">
        <f t="array" ref="B247:F247">runReactor(B246:F246,$B$2,$B$3,A246,A247,$B$8)</f>
        <v>106472.95431366871</v>
      </c>
      <c r="C247" s="57">
        <v>12.231932984550363</v>
      </c>
      <c r="D247" s="57">
        <v>1.0526903305270213E-2</v>
      </c>
      <c r="E247" s="57">
        <v>247.46306595214446</v>
      </c>
      <c r="F247" s="58">
        <v>11446485.389903169</v>
      </c>
    </row>
    <row r="248" spans="1:6" ht="16.5" customHeight="1">
      <c r="A248" s="56">
        <f t="shared" si="3"/>
        <v>230</v>
      </c>
      <c r="B248" s="57" cm="1">
        <f t="array" ref="B248:F248">runReactor(B247:F247,$B$2,$B$3,A247,A248,$B$8)</f>
        <v>106939.11773561903</v>
      </c>
      <c r="C248" s="57">
        <v>12.178610583020342</v>
      </c>
      <c r="D248" s="57">
        <v>1.0527989318842315E-2</v>
      </c>
      <c r="E248" s="57">
        <v>247.48927883462105</v>
      </c>
      <c r="F248" s="58">
        <v>11446483.888298349</v>
      </c>
    </row>
    <row r="249" spans="1:6" ht="16.5" customHeight="1">
      <c r="A249" s="56">
        <f t="shared" si="3"/>
        <v>231</v>
      </c>
      <c r="B249" s="57" cm="1">
        <f t="array" ref="B249:F249">runReactor(B248:F248,$B$2,$B$3,A248,A249,$B$8)</f>
        <v>107405.28115756935</v>
      </c>
      <c r="C249" s="57">
        <v>12.125751058295711</v>
      </c>
      <c r="D249" s="57">
        <v>1.05290659945575E-2</v>
      </c>
      <c r="E249" s="57">
        <v>247.51526417044519</v>
      </c>
      <c r="F249" s="58">
        <v>11446482.399940383</v>
      </c>
    </row>
    <row r="250" spans="1:6" ht="16.5" customHeight="1">
      <c r="A250" s="56">
        <f t="shared" si="3"/>
        <v>232</v>
      </c>
      <c r="B250" s="57" cm="1">
        <f t="array" ref="B250:F250">runReactor(B249:F249,$B$2,$B$3,A249,A250,$B$8)</f>
        <v>107871.44457951967</v>
      </c>
      <c r="C250" s="57">
        <v>12.073348409264893</v>
      </c>
      <c r="D250" s="57">
        <v>1.0530133452344916E-2</v>
      </c>
      <c r="E250" s="57">
        <v>247.54102490971638</v>
      </c>
      <c r="F250" s="58">
        <v>11446480.924654586</v>
      </c>
    </row>
    <row r="251" spans="1:6" ht="16.5" customHeight="1">
      <c r="A251" s="56">
        <f t="shared" si="3"/>
        <v>233</v>
      </c>
      <c r="B251" s="57" cm="1">
        <f t="array" ref="B251:F251">runReactor(B250:F250,$B$2,$B$3,A250,A251,$B$8)</f>
        <v>108337.60800146998</v>
      </c>
      <c r="C251" s="57">
        <v>12.021396738107656</v>
      </c>
      <c r="D251" s="57">
        <v>1.0531191810089352E-2</v>
      </c>
      <c r="E251" s="57">
        <v>247.56656395175708</v>
      </c>
      <c r="F251" s="58">
        <v>11446479.462269394</v>
      </c>
    </row>
    <row r="252" spans="1:6" ht="16.5" customHeight="1">
      <c r="A252" s="56">
        <f t="shared" si="3"/>
        <v>234</v>
      </c>
      <c r="B252" s="57" cm="1">
        <f t="array" ref="B252:F252">runReactor(B251:F251,$B$2,$B$3,A251,A252,$B$8)</f>
        <v>108803.7714234203</v>
      </c>
      <c r="C252" s="57">
        <v>11.969890248082418</v>
      </c>
      <c r="D252" s="57">
        <v>1.053224118367288E-2</v>
      </c>
      <c r="E252" s="57">
        <v>247.59188414620021</v>
      </c>
      <c r="F252" s="58">
        <v>11446478.012616185</v>
      </c>
    </row>
    <row r="253" spans="1:6" ht="16.5" customHeight="1">
      <c r="A253" s="56">
        <f t="shared" si="3"/>
        <v>235</v>
      </c>
      <c r="B253" s="57" cm="1">
        <f t="array" ref="B253:F253">runReactor(B252:F252,$B$2,$B$3,A252,A253,$B$8)</f>
        <v>109269.93484537062</v>
      </c>
      <c r="C253" s="57">
        <v>11.918823241370008</v>
      </c>
      <c r="D253" s="57">
        <v>1.0533281687018267E-2</v>
      </c>
      <c r="E253" s="57">
        <v>247.61698829404926</v>
      </c>
      <c r="F253" s="58">
        <v>11446476.575529292</v>
      </c>
    </row>
    <row r="254" spans="1:6" ht="16.5" customHeight="1">
      <c r="A254" s="56">
        <f t="shared" si="3"/>
        <v>236</v>
      </c>
      <c r="B254" s="57" cm="1">
        <f t="array" ref="B254:F254">runReactor(B253:F253,$B$2,$B$3,A253,A254,$B$8)</f>
        <v>109736.09826732094</v>
      </c>
      <c r="C254" s="57">
        <v>11.868190116972498</v>
      </c>
      <c r="D254" s="57">
        <v>1.0534313432131025E-2</v>
      </c>
      <c r="E254" s="57">
        <v>247.64187914871107</v>
      </c>
      <c r="F254" s="58">
        <v>11446475.150845885</v>
      </c>
    </row>
    <row r="255" spans="1:6" ht="16.5" customHeight="1">
      <c r="A255" s="56">
        <f t="shared" si="3"/>
        <v>237</v>
      </c>
      <c r="B255" s="57" cm="1">
        <f t="array" ref="B255:F255">runReactor(B254:F254,$B$2,$B$3,A254,A255,$B$8)</f>
        <v>110202.26168927125</v>
      </c>
      <c r="C255" s="57">
        <v>11.817985368665354</v>
      </c>
      <c r="D255" s="57">
        <v>1.0535336529137684E-2</v>
      </c>
      <c r="E255" s="57">
        <v>247.66655941700282</v>
      </c>
      <c r="F255" s="58">
        <v>11446473.738405963</v>
      </c>
    </row>
    <row r="256" spans="1:6" ht="16.5" customHeight="1">
      <c r="A256" s="56">
        <f t="shared" si="3"/>
        <v>238</v>
      </c>
      <c r="B256" s="57" cm="1">
        <f t="array" ref="B256:F256">runReactor(B255:F255,$B$2,$B$3,A255,A256,$B$8)</f>
        <v>110668.42511122157</v>
      </c>
      <c r="C256" s="57">
        <v>11.768203583001284</v>
      </c>
      <c r="D256" s="57">
        <v>1.0536351086325958E-2</v>
      </c>
      <c r="E256" s="57">
        <v>247.69103176013297</v>
      </c>
      <c r="F256" s="58">
        <v>11446472.33805226</v>
      </c>
    </row>
    <row r="257" spans="1:6" ht="16.5" customHeight="1">
      <c r="A257" s="56">
        <f t="shared" si="3"/>
        <v>239</v>
      </c>
      <c r="B257" s="57" cm="1">
        <f t="array" ref="B257:F257">runReactor(B256:F256,$B$2,$B$3,A256,A257,$B$8)</f>
        <v>111134.58853317189</v>
      </c>
      <c r="C257" s="57">
        <v>11.718839437364409</v>
      </c>
      <c r="D257" s="57">
        <v>1.0537357210183979E-2</v>
      </c>
      <c r="E257" s="57">
        <v>247.71529879465785</v>
      </c>
      <c r="F257" s="58">
        <v>11446470.949630192</v>
      </c>
    </row>
    <row r="258" spans="1:6" ht="16.5" customHeight="1">
      <c r="A258" s="56">
        <f t="shared" si="3"/>
        <v>240</v>
      </c>
      <c r="B258" s="57" cm="1">
        <f t="array" ref="B258:F258">runReactor(B257:F257,$B$2,$B$3,A257,A258,$B$8)</f>
        <v>111600.75195512221</v>
      </c>
      <c r="C258" s="57">
        <v>11.669887698073131</v>
      </c>
      <c r="D258" s="57">
        <v>1.0538355005435594E-2</v>
      </c>
      <c r="E258" s="57">
        <v>247.73936309341454</v>
      </c>
      <c r="F258" s="58">
        <v>11446469.572987786</v>
      </c>
    </row>
    <row r="259" spans="1:6" ht="16.5" customHeight="1">
      <c r="A259" s="56">
        <f t="shared" si="3"/>
        <v>241</v>
      </c>
      <c r="B259" s="57" cm="1">
        <f t="array" ref="B259:F259">runReactor(B258:F258,$B$2,$B$3,A258,A259,$B$8)</f>
        <v>112066.91537707252</v>
      </c>
      <c r="C259" s="57">
        <v>11.621343218530422</v>
      </c>
      <c r="D259" s="57">
        <v>1.0539344575077995E-2</v>
      </c>
      <c r="E259" s="57">
        <v>247.76322718643021</v>
      </c>
      <c r="F259" s="58">
        <v>11446468.207975689</v>
      </c>
    </row>
    <row r="260" spans="1:6" ht="16.5" customHeight="1">
      <c r="A260" s="56">
        <f t="shared" si="3"/>
        <v>242</v>
      </c>
      <c r="B260" s="57" cm="1">
        <f t="array" ref="B260:F260">runReactor(B259:F259,$B$2,$B$3,A259,A260,$B$8)</f>
        <v>112533.07879902284</v>
      </c>
      <c r="C260" s="57">
        <v>11.573200937420006</v>
      </c>
      <c r="D260" s="57">
        <v>1.0540326020416447E-2</v>
      </c>
      <c r="E260" s="57">
        <v>247.78689356180828</v>
      </c>
      <c r="F260" s="58">
        <v>11446466.854447009</v>
      </c>
    </row>
    <row r="261" spans="1:6" ht="16.5" customHeight="1">
      <c r="A261" s="56">
        <f t="shared" si="3"/>
        <v>243</v>
      </c>
      <c r="B261" s="57" cm="1">
        <f t="array" ref="B261:F261">runReactor(B260:F260,$B$2,$B$3,A260,A261,$B$8)</f>
        <v>112999.24222097316</v>
      </c>
      <c r="C261" s="57">
        <v>11.525455876947245</v>
      </c>
      <c r="D261" s="57">
        <v>1.054129944110046E-2</v>
      </c>
      <c r="E261" s="57">
        <v>247.81036466659407</v>
      </c>
      <c r="F261" s="58">
        <v>11446465.512257339</v>
      </c>
    </row>
    <row r="262" spans="1:6" ht="16.5" customHeight="1">
      <c r="A262" s="56">
        <f t="shared" si="3"/>
        <v>244</v>
      </c>
      <c r="B262" s="57" cm="1">
        <f t="array" ref="B262:F262">runReactor(B261:F261,$B$2,$B$3,A261,A262,$B$8)</f>
        <v>113465.40564292348</v>
      </c>
      <c r="C262" s="57">
        <v>11.478103141123391</v>
      </c>
      <c r="D262" s="57">
        <v>1.0542264935154854E-2</v>
      </c>
      <c r="E262" s="57">
        <v>247.8336429076173</v>
      </c>
      <c r="F262" s="58">
        <v>11446464.181264713</v>
      </c>
    </row>
    <row r="263" spans="1:6" ht="16.5" customHeight="1">
      <c r="A263" s="56">
        <f t="shared" si="3"/>
        <v>245</v>
      </c>
      <c r="B263" s="57" cm="1">
        <f t="array" ref="B263:F263">runReactor(B262:F262,$B$2,$B$3,A262,A263,$B$8)</f>
        <v>113931.56906487379</v>
      </c>
      <c r="C263" s="57">
        <v>11.431137914091931</v>
      </c>
      <c r="D263" s="57">
        <v>1.0543222599015689E-2</v>
      </c>
      <c r="E263" s="57">
        <v>247.85673065231558</v>
      </c>
      <c r="F263" s="58">
        <v>11446462.861329485</v>
      </c>
    </row>
    <row r="264" spans="1:6" ht="16.5" customHeight="1">
      <c r="A264" s="56">
        <f t="shared" si="3"/>
        <v>246</v>
      </c>
      <c r="B264" s="57" cm="1">
        <f t="array" ref="B264:F264">runReactor(B263:F263,$B$2,$B$3,A263,A264,$B$8)</f>
        <v>114397.73248682411</v>
      </c>
      <c r="C264" s="57">
        <v>11.384555458495896</v>
      </c>
      <c r="D264" s="57">
        <v>1.0544172527560347E-2</v>
      </c>
      <c r="E264" s="57">
        <v>247.87963022953656</v>
      </c>
      <c r="F264" s="58">
        <v>11446461.552314345</v>
      </c>
    </row>
    <row r="265" spans="1:6" ht="16.5" customHeight="1">
      <c r="A265" s="56">
        <f t="shared" si="3"/>
        <v>247</v>
      </c>
      <c r="B265" s="57" cm="1">
        <f t="array" ref="B265:F265">runReactor(B264:F264,$B$2,$B$3,A264,A265,$B$8)</f>
        <v>114863.89590877443</v>
      </c>
      <c r="C265" s="57">
        <v>11.338351113884867</v>
      </c>
      <c r="D265" s="57">
        <v>1.0545114814138879E-2</v>
      </c>
      <c r="E265" s="57">
        <v>247.90234393032156</v>
      </c>
      <c r="F265" s="58">
        <v>11446460.254084254</v>
      </c>
    </row>
    <row r="266" spans="1:6" ht="16.5" customHeight="1">
      <c r="A266" s="56">
        <f t="shared" si="3"/>
        <v>248</v>
      </c>
      <c r="B266" s="57" cm="1">
        <f t="array" ref="B266:F266">runReactor(B265:F265,$B$2,$B$3,A265,A266,$B$8)</f>
        <v>115330.05933072475</v>
      </c>
      <c r="C266" s="57">
        <v>11.292520295160683</v>
      </c>
      <c r="D266" s="57">
        <v>1.0546049550605773E-2</v>
      </c>
      <c r="E266" s="57">
        <v>247.92487400866906</v>
      </c>
      <c r="F266" s="58">
        <v>11446458.966506373</v>
      </c>
    </row>
    <row r="267" spans="1:6" ht="16.5" customHeight="1">
      <c r="A267" s="56">
        <f t="shared" si="3"/>
        <v>249</v>
      </c>
      <c r="B267" s="57" cm="1">
        <f t="array" ref="B267:F267">runReactor(B266:F266,$B$2,$B$3,A266,A267,$B$8)</f>
        <v>115796.22275267506</v>
      </c>
      <c r="C267" s="57">
        <v>11.247058491060626</v>
      </c>
      <c r="D267" s="57">
        <v>1.0546976827349034E-2</v>
      </c>
      <c r="E267" s="57">
        <v>247.9472226822808</v>
      </c>
      <c r="F267" s="58">
        <v>11446457.68945004</v>
      </c>
    </row>
    <row r="268" spans="1:6" ht="16.5" customHeight="1">
      <c r="A268" s="56">
        <f t="shared" si="3"/>
        <v>250</v>
      </c>
      <c r="B268" s="57" cm="1">
        <f t="array" ref="B268:F268">runReactor(B267:F267,$B$2,$B$3,A267,A268,$B$8)</f>
        <v>116262.38617462538</v>
      </c>
      <c r="C268" s="57">
        <v>11.201961262677171</v>
      </c>
      <c r="D268" s="57">
        <v>1.0547896733318959E-2</v>
      </c>
      <c r="E268" s="57">
        <v>247.96939213328898</v>
      </c>
      <c r="F268" s="58">
        <v>11446456.422786731</v>
      </c>
    </row>
    <row r="269" spans="1:6" ht="16.5" customHeight="1">
      <c r="A269" s="56">
        <f t="shared" si="3"/>
        <v>251</v>
      </c>
      <c r="B269" s="57" cm="1">
        <f t="array" ref="B269:F269">runReactor(B268:F268,$B$2,$B$3,A268,A269,$B$8)</f>
        <v>116728.5495965757</v>
      </c>
      <c r="C269" s="57">
        <v>11.157224242013127</v>
      </c>
      <c r="D269" s="57">
        <v>1.0548809356058071E-2</v>
      </c>
      <c r="E269" s="57">
        <v>247.99138450896709</v>
      </c>
      <c r="F269" s="58">
        <v>11446455.166390007</v>
      </c>
    </row>
    <row r="270" spans="1:6" ht="16.5" customHeight="1">
      <c r="A270" s="56">
        <f t="shared" si="3"/>
        <v>252</v>
      </c>
      <c r="B270" s="57" cm="1">
        <f t="array" ref="B270:F270">runReactor(B269:F269,$B$2,$B$3,A269,A270,$B$8)</f>
        <v>117194.71301852602</v>
      </c>
      <c r="C270" s="57">
        <v>11.112843130571333</v>
      </c>
      <c r="D270" s="57">
        <v>1.054971478172707E-2</v>
      </c>
      <c r="E270" s="57">
        <v>248.01320192242292</v>
      </c>
      <c r="F270" s="58">
        <v>11446453.920135492</v>
      </c>
    </row>
    <row r="271" spans="1:6" ht="16.5" customHeight="1">
      <c r="A271" s="56">
        <f t="shared" si="3"/>
        <v>253</v>
      </c>
      <c r="B271" s="57" cm="1">
        <f t="array" ref="B271:F271">runReactor(B270:F270,$B$2,$B$3,A270,A271,$B$8)</f>
        <v>117660.87644047634</v>
      </c>
      <c r="C271" s="57">
        <v>11.068813697977824</v>
      </c>
      <c r="D271" s="57">
        <v>1.0550613095133754E-2</v>
      </c>
      <c r="E271" s="57">
        <v>248.03484645327529</v>
      </c>
      <c r="F271" s="58">
        <v>11446452.683900777</v>
      </c>
    </row>
    <row r="272" spans="1:6" ht="16.5" customHeight="1">
      <c r="A272" s="56">
        <f t="shared" si="3"/>
        <v>254</v>
      </c>
      <c r="B272" s="57" cm="1">
        <f t="array" ref="B272:F272">runReactor(B271:F271,$B$2,$B$3,A271,A272,$B$8)</f>
        <v>118127.03986242665</v>
      </c>
      <c r="C272" s="57">
        <v>11.02513178063764</v>
      </c>
      <c r="D272" s="57">
        <v>1.0551504379758086E-2</v>
      </c>
      <c r="E272" s="57">
        <v>248.05632014831525</v>
      </c>
      <c r="F272" s="58">
        <v>11446451.457565432</v>
      </c>
    </row>
    <row r="273" spans="1:6" ht="16.5" customHeight="1">
      <c r="A273" s="56">
        <f t="shared" si="3"/>
        <v>255</v>
      </c>
      <c r="B273" s="57" cm="1">
        <f t="array" ref="B273:F273">runReactor(B272:F272,$B$2,$B$3,A272,A273,$B$8)</f>
        <v>118593.20328437697</v>
      </c>
      <c r="C273" s="57">
        <v>10.98179328042233</v>
      </c>
      <c r="D273" s="57">
        <v>1.0552388717778244E-2</v>
      </c>
      <c r="E273" s="57">
        <v>248.0776250221507</v>
      </c>
      <c r="F273" s="58">
        <v>11446450.241010962</v>
      </c>
    </row>
    <row r="274" spans="1:6" ht="16.5" customHeight="1">
      <c r="A274" s="56">
        <f t="shared" si="3"/>
        <v>256</v>
      </c>
      <c r="B274" s="57" cm="1">
        <f t="array" ref="B274:F274">runReactor(B273:F273,$B$2,$B$3,A273,A274,$B$8)</f>
        <v>119059.36670632729</v>
      </c>
      <c r="C274" s="57">
        <v>10.938794163388261</v>
      </c>
      <c r="D274" s="57">
        <v>1.0553266190096836E-2</v>
      </c>
      <c r="E274" s="57">
        <v>248.09876305783686</v>
      </c>
      <c r="F274" s="58">
        <v>11446449.034120725</v>
      </c>
    </row>
    <row r="275" spans="1:6" ht="16.5" customHeight="1">
      <c r="A275" s="56">
        <f t="shared" si="3"/>
        <v>257</v>
      </c>
      <c r="B275" s="57" cm="1">
        <f t="array" ref="B275:F275">runReactor(B274:F274,$B$2,$B$3,A274,A275,$B$8)</f>
        <v>119525.53012827761</v>
      </c>
      <c r="C275" s="57">
        <v>10.896130458524953</v>
      </c>
      <c r="D275" s="57">
        <v>1.0554136876363593E-2</v>
      </c>
      <c r="E275" s="57">
        <v>248.11973620749183</v>
      </c>
      <c r="F275" s="58">
        <v>11446447.836779963</v>
      </c>
    </row>
    <row r="276" spans="1:6" ht="16.5" customHeight="1">
      <c r="A276" s="56">
        <f t="shared" ref="A276:A339" si="4">A275+1</f>
        <v>258</v>
      </c>
      <c r="B276" s="57" cm="1">
        <f t="array" ref="B276:F276">runReactor(B275:F275,$B$2,$B$3,A275,A276,$B$8)</f>
        <v>119991.69355022792</v>
      </c>
      <c r="C276" s="57">
        <v>10.853798256532569</v>
      </c>
      <c r="D276" s="57">
        <v>1.0555000855002872E-2</v>
      </c>
      <c r="E276" s="57">
        <v>248.14054639289697</v>
      </c>
      <c r="F276" s="58">
        <v>11446446.648875726</v>
      </c>
    </row>
    <row r="277" spans="1:6" ht="16.5" customHeight="1">
      <c r="A277" s="56">
        <f t="shared" si="4"/>
        <v>259</v>
      </c>
      <c r="B277" s="57" cm="1">
        <f t="array" ref="B277:F277">runReactor(B276:F276,$B$2,$B$3,A276,A277,$B$8)</f>
        <v>120457.85697217824</v>
      </c>
      <c r="C277" s="57">
        <v>10.811793708627807</v>
      </c>
      <c r="D277" s="57">
        <v>1.0555858203233948E-2</v>
      </c>
      <c r="E277" s="57">
        <v>248.16119550608411</v>
      </c>
      <c r="F277" s="58">
        <v>11446445.470296815</v>
      </c>
    </row>
    <row r="278" spans="1:6" ht="16.5" customHeight="1">
      <c r="A278" s="56">
        <f t="shared" si="4"/>
        <v>260</v>
      </c>
      <c r="B278" s="57" cm="1">
        <f t="array" ref="B278:F278">runReactor(B277:F277,$B$2,$B$3,A277,A278,$B$8)</f>
        <v>120924.02039412856</v>
      </c>
      <c r="C278" s="57">
        <v>10.770113025377428</v>
      </c>
      <c r="D278" s="57">
        <v>1.0556708997095338E-2</v>
      </c>
      <c r="E278" s="57">
        <v>248.18168540990911</v>
      </c>
      <c r="F278" s="58">
        <v>11446444.300933776</v>
      </c>
    </row>
    <row r="279" spans="1:6" ht="16.5" customHeight="1">
      <c r="A279" s="56">
        <f t="shared" si="4"/>
        <v>261</v>
      </c>
      <c r="B279" s="57" cm="1">
        <f t="array" ref="B279:F279">runReactor(B278:F278,$B$2,$B$3,A278,A279,$B$8)</f>
        <v>121390.18381607888</v>
      </c>
      <c r="C279" s="57">
        <v>10.728752475558613</v>
      </c>
      <c r="D279" s="57">
        <v>1.0557553311466903E-2</v>
      </c>
      <c r="E279" s="57">
        <v>248.20201793861216</v>
      </c>
      <c r="F279" s="58">
        <v>11446443.140678875</v>
      </c>
    </row>
    <row r="280" spans="1:6" ht="16.5" customHeight="1">
      <c r="A280" s="56">
        <f t="shared" si="4"/>
        <v>262</v>
      </c>
      <c r="B280" s="57" cm="1">
        <f t="array" ref="B280:F280">runReactor(B279:F279,$B$2,$B$3,A279,A280,$B$8)</f>
        <v>121856.34723802919</v>
      </c>
      <c r="C280" s="57">
        <v>10.687708385045502</v>
      </c>
      <c r="D280" s="57">
        <v>1.0558391220093236E-2</v>
      </c>
      <c r="E280" s="57">
        <v>248.22219489836499</v>
      </c>
      <c r="F280" s="58">
        <v>11446441.989426041</v>
      </c>
    </row>
    <row r="281" spans="1:6" ht="16.5" customHeight="1">
      <c r="A281" s="56">
        <f t="shared" si="4"/>
        <v>263</v>
      </c>
      <c r="B281" s="57" cm="1">
        <f t="array" ref="B281:F281">runReactor(B280:F280,$B$2,$B$3,A280,A281,$B$8)</f>
        <v>122322.51065997951</v>
      </c>
      <c r="C281" s="57">
        <v>10.646977135721244</v>
      </c>
      <c r="D281" s="57">
        <v>1.0559222795603129E-2</v>
      </c>
      <c r="E281" s="57">
        <v>248.24221806780577</v>
      </c>
      <c r="F281" s="58">
        <v>11446440.847070865</v>
      </c>
    </row>
    <row r="282" spans="1:6" ht="16.5" customHeight="1">
      <c r="A282" s="56">
        <f t="shared" si="4"/>
        <v>264</v>
      </c>
      <c r="B282" s="57" cm="1">
        <f t="array" ref="B282:F282">runReactor(B281:F281,$B$2,$B$3,A281,A282,$B$8)</f>
        <v>122788.67408192983</v>
      </c>
      <c r="C282" s="57">
        <v>10.606555164414738</v>
      </c>
      <c r="D282" s="57">
        <v>1.0560048109531622E-2</v>
      </c>
      <c r="E282" s="57">
        <v>248.26208919856177</v>
      </c>
      <c r="F282" s="58">
        <v>11446439.713510551</v>
      </c>
    </row>
    <row r="283" spans="1:6" ht="16.5" customHeight="1">
      <c r="A283" s="56">
        <f t="shared" si="4"/>
        <v>265</v>
      </c>
      <c r="B283" s="57" cm="1">
        <f t="array" ref="B283:F283">runReactor(B282:F282,$B$2,$B$3,A282,A283,$B$8)</f>
        <v>123254.83750388015</v>
      </c>
      <c r="C283" s="57">
        <v>10.566438961861577</v>
      </c>
      <c r="D283" s="57">
        <v>1.0560867232340029E-2</v>
      </c>
      <c r="E283" s="57">
        <v>248.28181001575979</v>
      </c>
      <c r="F283" s="58">
        <v>11446438.58864383</v>
      </c>
    </row>
    <row r="284" spans="1:6" ht="16.5" customHeight="1">
      <c r="A284" s="56">
        <f t="shared" si="4"/>
        <v>266</v>
      </c>
      <c r="B284" s="57" cm="1">
        <f t="array" ref="B284:F284">runReactor(B283:F283,$B$2,$B$3,A283,A284,$B$8)</f>
        <v>123721.00092583046</v>
      </c>
      <c r="C284" s="57">
        <v>10.526625071688429</v>
      </c>
      <c r="D284" s="57">
        <v>1.0561680233437709E-2</v>
      </c>
      <c r="E284" s="57">
        <v>248.30138221852641</v>
      </c>
      <c r="F284" s="58">
        <v>11446437.472371047</v>
      </c>
    </row>
    <row r="285" spans="1:6" ht="16.5" customHeight="1">
      <c r="A285" s="56">
        <f t="shared" si="4"/>
        <v>267</v>
      </c>
      <c r="B285" s="57" cm="1">
        <f t="array" ref="B285:F285">runReactor(B284:F284,$B$2,$B$3,A284,A285,$B$8)</f>
        <v>124187.16434778078</v>
      </c>
      <c r="C285" s="57">
        <v>10.487110089420373</v>
      </c>
      <c r="D285" s="57">
        <v>1.0562487181198467E-2</v>
      </c>
      <c r="E285" s="57">
        <v>248.32080748047488</v>
      </c>
      <c r="F285" s="58">
        <v>11446436.364594012</v>
      </c>
    </row>
    <row r="286" spans="1:6" ht="16.5" customHeight="1">
      <c r="A286" s="56">
        <f t="shared" si="4"/>
        <v>268</v>
      </c>
      <c r="B286" s="57" cm="1">
        <f t="array" ref="B286:F286">runReactor(B285:F285,$B$2,$B$3,A285,A286,$B$8)</f>
        <v>124653.3277697311</v>
      </c>
      <c r="C286" s="57">
        <v>10.447890661510389</v>
      </c>
      <c r="D286" s="57">
        <v>1.0563288142982553E-2</v>
      </c>
      <c r="E286" s="57">
        <v>248.34008745018303</v>
      </c>
      <c r="F286" s="58">
        <v>11446435.265216069</v>
      </c>
    </row>
    <row r="287" spans="1:6" ht="16.5" customHeight="1">
      <c r="A287" s="56">
        <f t="shared" si="4"/>
        <v>269</v>
      </c>
      <c r="B287" s="57" cm="1">
        <f t="array" ref="B287:F287">runReactor(B286:F286,$B$2,$B$3,A286,A287,$B$8)</f>
        <v>125119.49119168142</v>
      </c>
      <c r="C287" s="57">
        <v>10.408963484390661</v>
      </c>
      <c r="D287" s="57">
        <v>1.0564083185153995E-2</v>
      </c>
      <c r="E287" s="57">
        <v>248.35922375165885</v>
      </c>
      <c r="F287" s="58">
        <v>11446434.174141986</v>
      </c>
    </row>
    <row r="288" spans="1:6" ht="16.5" customHeight="1">
      <c r="A288" s="56">
        <f t="shared" si="4"/>
        <v>270</v>
      </c>
      <c r="B288" s="57" cm="1">
        <f t="array" ref="B288:F288">runReactor(B287:F287,$B$2,$B$3,A287,A288,$B$8)</f>
        <v>125585.65461363173</v>
      </c>
      <c r="C288" s="57">
        <v>10.37032530354492</v>
      </c>
      <c r="D288" s="57">
        <v>1.0564872373100201E-2</v>
      </c>
      <c r="E288" s="57">
        <v>248.37821798479746</v>
      </c>
      <c r="F288" s="58">
        <v>11446433.091278</v>
      </c>
    </row>
    <row r="289" spans="1:6" ht="16.5" customHeight="1">
      <c r="A289" s="56">
        <f t="shared" si="4"/>
        <v>271</v>
      </c>
      <c r="B289" s="57" cm="1">
        <f t="array" ref="B289:F289">runReactor(B288:F288,$B$2,$B$3,A288,A289,$B$8)</f>
        <v>126051.81803558205</v>
      </c>
      <c r="C289" s="57">
        <v>10.331972912601437</v>
      </c>
      <c r="D289" s="57">
        <v>1.0565655771248912E-2</v>
      </c>
      <c r="E289" s="57">
        <v>248.39707172582621</v>
      </c>
      <c r="F289" s="58">
        <v>11446432.016531734</v>
      </c>
    </row>
    <row r="290" spans="1:6" ht="16.5" customHeight="1">
      <c r="A290" s="56">
        <f t="shared" si="4"/>
        <v>272</v>
      </c>
      <c r="B290" s="57" cm="1">
        <f t="array" ref="B290:F290">runReactor(B289:F289,$B$2,$B$3,A289,A290,$B$8)</f>
        <v>126517.98145753237</v>
      </c>
      <c r="C290" s="57">
        <v>10.293903152446061</v>
      </c>
      <c r="D290" s="57">
        <v>1.056643344308451E-2</v>
      </c>
      <c r="E290" s="57">
        <v>248.41578652774115</v>
      </c>
      <c r="F290" s="58">
        <v>11446430.949812194</v>
      </c>
    </row>
    <row r="291" spans="1:6" ht="16.5" customHeight="1">
      <c r="A291" s="56">
        <f t="shared" si="4"/>
        <v>273</v>
      </c>
      <c r="B291" s="57" cm="1">
        <f t="array" ref="B291:F291">runReactor(B290:F290,$B$2,$B$3,A290,A291,$B$8)</f>
        <v>126984.14487948269</v>
      </c>
      <c r="C291" s="57">
        <v>10.256112910354721</v>
      </c>
      <c r="D291" s="57">
        <v>1.0567205451167084E-2</v>
      </c>
      <c r="E291" s="57">
        <v>248.43436392073326</v>
      </c>
      <c r="F291" s="58">
        <v>11446429.891029753</v>
      </c>
    </row>
    <row r="292" spans="1:6" ht="16.5" customHeight="1">
      <c r="A292" s="56">
        <f t="shared" si="4"/>
        <v>274</v>
      </c>
      <c r="B292" s="57" cm="1">
        <f t="array" ref="B292:F292">runReactor(B291:F291,$B$2,$B$3,A291,A292,$B$8)</f>
        <v>127450.308301433</v>
      </c>
      <c r="C292" s="57">
        <v>10.218599119145049</v>
      </c>
      <c r="D292" s="57">
        <v>1.0567971857149645E-2</v>
      </c>
      <c r="E292" s="57">
        <v>248.45280541260561</v>
      </c>
      <c r="F292" s="58">
        <v>11446428.840096103</v>
      </c>
    </row>
    <row r="293" spans="1:6" ht="16.5" customHeight="1">
      <c r="A293" s="56">
        <f t="shared" si="4"/>
        <v>275</v>
      </c>
      <c r="B293" s="57" cm="1">
        <f t="array" ref="B293:F293">runReactor(B292:F292,$B$2,$B$3,A292,A293,$B$8)</f>
        <v>127916.47172338332</v>
      </c>
      <c r="C293" s="57">
        <v>10.181358756346523</v>
      </c>
      <c r="D293" s="57">
        <v>1.0568732721792703E-2</v>
      </c>
      <c r="E293" s="57">
        <v>248.47111248918117</v>
      </c>
      <c r="F293" s="58">
        <v>11446427.796924243</v>
      </c>
    </row>
    <row r="294" spans="1:6" ht="16.5" customHeight="1">
      <c r="A294" s="56">
        <f t="shared" si="4"/>
        <v>276</v>
      </c>
      <c r="B294" s="57" cm="1">
        <f t="array" ref="B294:F294">runReactor(B293:F293,$B$2,$B$3,A293,A294,$B$8)</f>
        <v>128382.63514533364</v>
      </c>
      <c r="C294" s="57">
        <v>10.144388843388674</v>
      </c>
      <c r="D294" s="57">
        <v>1.0569488104982445E-2</v>
      </c>
      <c r="E294" s="57">
        <v>248.48928661470211</v>
      </c>
      <c r="F294" s="58">
        <v>11446426.76142846</v>
      </c>
    </row>
    <row r="295" spans="1:6" ht="16.5" customHeight="1">
      <c r="A295" s="56">
        <f t="shared" si="4"/>
        <v>277</v>
      </c>
      <c r="B295" s="57" cm="1">
        <f t="array" ref="B295:F295">runReactor(B294:F294,$B$2,$B$3,A294,A295,$B$8)</f>
        <v>128848.79856728396</v>
      </c>
      <c r="C295" s="57">
        <v>10.107686444807003</v>
      </c>
      <c r="D295" s="57">
        <v>1.057023806574329E-2</v>
      </c>
      <c r="E295" s="57">
        <v>248.50732923221986</v>
      </c>
      <c r="F295" s="58">
        <v>11446425.733524287</v>
      </c>
    </row>
    <row r="296" spans="1:6" ht="16.5" customHeight="1">
      <c r="A296" s="56">
        <f t="shared" si="4"/>
        <v>278</v>
      </c>
      <c r="B296" s="57" cm="1">
        <f t="array" ref="B296:F296">runReactor(B295:F295,$B$2,$B$3,A295,A296,$B$8)</f>
        <v>129314.96198923427</v>
      </c>
      <c r="C296" s="57">
        <v>10.071248667465905</v>
      </c>
      <c r="D296" s="57">
        <v>1.0570982662255691E-2</v>
      </c>
      <c r="E296" s="57">
        <v>248.52524176397753</v>
      </c>
      <c r="F296" s="58">
        <v>11446424.713128513</v>
      </c>
    </row>
    <row r="297" spans="1:6" ht="16.5" customHeight="1">
      <c r="A297" s="56">
        <f t="shared" si="4"/>
        <v>279</v>
      </c>
      <c r="B297" s="57" cm="1">
        <f t="array" ref="B297:F297">runReactor(B296:F296,$B$2,$B$3,A296,A297,$B$8)</f>
        <v>129781.12541118459</v>
      </c>
      <c r="C297" s="57">
        <v>10.035072659798471</v>
      </c>
      <c r="D297" s="57">
        <v>1.0571721951871837E-2</v>
      </c>
      <c r="E297" s="57">
        <v>248.54302561178309</v>
      </c>
      <c r="F297" s="58">
        <v>11446423.700159116</v>
      </c>
    </row>
    <row r="298" spans="1:6" ht="16.5" customHeight="1">
      <c r="A298" s="56">
        <f t="shared" si="4"/>
        <v>280</v>
      </c>
      <c r="B298" s="57" cm="1">
        <f t="array" ref="B298:F298">runReactor(B297:F297,$B$2,$B$3,A297,A298,$B$8)</f>
        <v>130247.28883313491</v>
      </c>
      <c r="C298" s="57">
        <v>9.9991556110626387</v>
      </c>
      <c r="D298" s="57">
        <v>1.057245599112892E-2</v>
      </c>
      <c r="E298" s="57">
        <v>248.56068215737605</v>
      </c>
      <c r="F298" s="58">
        <v>11446422.694535283</v>
      </c>
    </row>
    <row r="299" spans="1:6" ht="16.5" customHeight="1">
      <c r="A299" s="56">
        <f t="shared" si="4"/>
        <v>281</v>
      </c>
      <c r="B299" s="57" cm="1">
        <f t="array" ref="B299:F299">runReactor(B298:F298,$B$2,$B$3,A298,A299,$B$8)</f>
        <v>130713.45225508523</v>
      </c>
      <c r="C299" s="57">
        <v>9.9634947506131475</v>
      </c>
      <c r="D299" s="57">
        <v>1.0573184835763205E-2</v>
      </c>
      <c r="E299" s="57">
        <v>248.57821276278355</v>
      </c>
      <c r="F299" s="58">
        <v>11446421.696177369</v>
      </c>
    </row>
    <row r="300" spans="1:6" ht="16.5" customHeight="1">
      <c r="A300" s="56">
        <f t="shared" si="4"/>
        <v>282</v>
      </c>
      <c r="B300" s="57" cm="1">
        <f t="array" ref="B300:F300">runReactor(B299:F299,$B$2,$B$3,A299,A300,$B$8)</f>
        <v>131179.61567703521</v>
      </c>
      <c r="C300" s="57">
        <v>9.9280873471891002</v>
      </c>
      <c r="D300" s="57">
        <v>1.0573908540724038E-2</v>
      </c>
      <c r="E300" s="57">
        <v>248.59561877067262</v>
      </c>
      <c r="F300" s="58">
        <v>11446420.705006862</v>
      </c>
    </row>
    <row r="301" spans="1:6" ht="16.5" customHeight="1">
      <c r="A301" s="56">
        <f t="shared" si="4"/>
        <v>283</v>
      </c>
      <c r="B301" s="57" cm="1">
        <f t="array" ref="B301:F301">runReactor(B300:F300,$B$2,$B$3,A300,A301,$B$8)</f>
        <v>131645.77909898406</v>
      </c>
      <c r="C301" s="57">
        <v>9.8929307082166211</v>
      </c>
      <c r="D301" s="57">
        <v>1.0574627160194966E-2</v>
      </c>
      <c r="E301" s="57">
        <v>248.61290150469148</v>
      </c>
      <c r="F301" s="58">
        <v>11446419.720946388</v>
      </c>
    </row>
    <row r="302" spans="1:6" ht="16.5" customHeight="1">
      <c r="A302" s="56">
        <f t="shared" si="4"/>
        <v>284</v>
      </c>
      <c r="B302" s="57" cm="1">
        <f t="array" ref="B302:F302">runReactor(B301:F301,$B$2,$B$3,A301,A302,$B$8)</f>
        <v>132111.94252093291</v>
      </c>
      <c r="C302" s="57">
        <v>9.858022179126289</v>
      </c>
      <c r="D302" s="57">
        <v>1.0575340747590921E-2</v>
      </c>
      <c r="E302" s="57">
        <v>248.6300622698061</v>
      </c>
      <c r="F302" s="58">
        <v>11446418.743919697</v>
      </c>
    </row>
    <row r="303" spans="1:6" ht="16.5" customHeight="1">
      <c r="A303" s="56">
        <f t="shared" si="4"/>
        <v>285</v>
      </c>
      <c r="B303" s="57" cm="1">
        <f t="array" ref="B303:F303">runReactor(B302:F302,$B$2,$B$3,A302,A303,$B$8)</f>
        <v>132578.10594288175</v>
      </c>
      <c r="C303" s="57">
        <v>9.8233591426850211</v>
      </c>
      <c r="D303" s="57">
        <v>1.057604935558345E-2</v>
      </c>
      <c r="E303" s="57">
        <v>248.64710235262763</v>
      </c>
      <c r="F303" s="58">
        <v>11446417.773851605</v>
      </c>
    </row>
    <row r="304" spans="1:6" ht="16.5" customHeight="1">
      <c r="A304" s="56">
        <f t="shared" si="4"/>
        <v>286</v>
      </c>
      <c r="B304" s="57" cm="1">
        <f t="array" ref="B304:F304">runReactor(B303:F303,$B$2,$B$3,A303,A304,$B$8)</f>
        <v>133044.2693648306</v>
      </c>
      <c r="C304" s="57">
        <v>9.7889390183418836</v>
      </c>
      <c r="D304" s="57">
        <v>1.057675303611267E-2</v>
      </c>
      <c r="E304" s="57">
        <v>248.66402302173503</v>
      </c>
      <c r="F304" s="58">
        <v>11446416.810668012</v>
      </c>
    </row>
    <row r="305" spans="1:6" ht="16.5" customHeight="1">
      <c r="A305" s="56">
        <f t="shared" si="4"/>
        <v>287</v>
      </c>
      <c r="B305" s="57" cm="1">
        <f t="array" ref="B305:F305">runReactor(B304:F304,$B$2,$B$3,A304,A305,$B$8)</f>
        <v>133510.43278677945</v>
      </c>
      <c r="C305" s="57">
        <v>9.7547592615877239</v>
      </c>
      <c r="D305" s="57">
        <v>1.0577451840400189E-2</v>
      </c>
      <c r="E305" s="57">
        <v>248.68082552798933</v>
      </c>
      <c r="F305" s="58">
        <v>11446415.854295833</v>
      </c>
    </row>
    <row r="306" spans="1:6" ht="16.5" customHeight="1">
      <c r="A306" s="56">
        <f t="shared" si="4"/>
        <v>288</v>
      </c>
      <c r="B306" s="57" cm="1">
        <f t="array" ref="B306:F306">runReactor(B305:F305,$B$2,$B$3,A305,A306,$B$8)</f>
        <v>133976.5962087283</v>
      </c>
      <c r="C306" s="57">
        <v>9.7208173633281341</v>
      </c>
      <c r="D306" s="57">
        <v>1.0578145818959734E-2</v>
      </c>
      <c r="E306" s="57">
        <v>248.69751110484185</v>
      </c>
      <c r="F306" s="58">
        <v>11446414.904663045</v>
      </c>
    </row>
    <row r="307" spans="1:6" ht="16.5" customHeight="1">
      <c r="A307" s="56">
        <f t="shared" si="4"/>
        <v>289</v>
      </c>
      <c r="B307" s="57" cm="1">
        <f t="array" ref="B307:F307">runReactor(B306:F306,$B$2,$B$3,A306,A307,$B$8)</f>
        <v>134442.75963067714</v>
      </c>
      <c r="C307" s="57">
        <v>9.687110849269434</v>
      </c>
      <c r="D307" s="57">
        <v>1.0578835021609785E-2</v>
      </c>
      <c r="E307" s="57">
        <v>248.71408096863607</v>
      </c>
      <c r="F307" s="58">
        <v>11446413.961698623</v>
      </c>
    </row>
    <row r="308" spans="1:6" ht="16.5" customHeight="1">
      <c r="A308" s="56">
        <f t="shared" si="4"/>
        <v>290</v>
      </c>
      <c r="B308" s="57" cm="1">
        <f t="array" ref="B308:F308">runReactor(B307:F307,$B$2,$B$3,A307,A308,$B$8)</f>
        <v>134908.92305262599</v>
      </c>
      <c r="C308" s="57">
        <v>9.6536372793174419</v>
      </c>
      <c r="D308" s="57">
        <v>1.0579519497483694E-2</v>
      </c>
      <c r="E308" s="57">
        <v>248.73053631890343</v>
      </c>
      <c r="F308" s="58">
        <v>11446413.025332544</v>
      </c>
    </row>
    <row r="309" spans="1:6" ht="16.5" customHeight="1">
      <c r="A309" s="56">
        <f t="shared" si="4"/>
        <v>291</v>
      </c>
      <c r="B309" s="57" cm="1">
        <f t="array" ref="B309:F309">runReactor(B308:F308,$B$2,$B$3,A308,A309,$B$8)</f>
        <v>135375.08647457484</v>
      </c>
      <c r="C309" s="57">
        <v>9.6203942469885817</v>
      </c>
      <c r="D309" s="57">
        <v>1.058019929504502E-2</v>
      </c>
      <c r="E309" s="57">
        <v>248.74687833865258</v>
      </c>
      <c r="F309" s="58">
        <v>11446412.095495744</v>
      </c>
    </row>
    <row r="310" spans="1:6" ht="16.5" customHeight="1">
      <c r="A310" s="56">
        <f t="shared" si="4"/>
        <v>292</v>
      </c>
      <c r="B310" s="57" cm="1">
        <f t="array" ref="B310:F310">runReactor(B309:F309,$B$2,$B$3,A309,A310,$B$8)</f>
        <v>135841.24989652369</v>
      </c>
      <c r="C310" s="57">
        <v>9.5873793788331874</v>
      </c>
      <c r="D310" s="57">
        <v>1.0580874462096898E-2</v>
      </c>
      <c r="E310" s="57">
        <v>248.76310819465303</v>
      </c>
      <c r="F310" s="58">
        <v>11446411.172120145</v>
      </c>
    </row>
    <row r="311" spans="1:6" ht="16.5" customHeight="1">
      <c r="A311" s="56">
        <f t="shared" si="4"/>
        <v>293</v>
      </c>
      <c r="B311" s="57" cm="1">
        <f t="array" ref="B311:F311">runReactor(B310:F310,$B$2,$B$3,A310,A311,$B$8)</f>
        <v>136307.41331847254</v>
      </c>
      <c r="C311" s="57">
        <v>9.5545903338706228</v>
      </c>
      <c r="D311" s="57">
        <v>1.0581545045792734E-2</v>
      </c>
      <c r="E311" s="57">
        <v>248.7792270377127</v>
      </c>
      <c r="F311" s="58">
        <v>11446410.255138608</v>
      </c>
    </row>
    <row r="312" spans="1:6" ht="16.5" customHeight="1">
      <c r="A312" s="56">
        <f t="shared" si="4"/>
        <v>294</v>
      </c>
      <c r="B312" s="57" cm="1">
        <f t="array" ref="B312:F312">runReactor(B311:F311,$B$2,$B$3,A311,A312,$B$8)</f>
        <v>136773.57674042138</v>
      </c>
      <c r="C312" s="57">
        <v>9.5220248030359507</v>
      </c>
      <c r="D312" s="57">
        <v>1.0582211092648387E-2</v>
      </c>
      <c r="E312" s="57">
        <v>248.79523600295008</v>
      </c>
      <c r="F312" s="58">
        <v>11446409.34448491</v>
      </c>
    </row>
    <row r="313" spans="1:6" ht="16.5" customHeight="1">
      <c r="A313" s="56">
        <f t="shared" si="4"/>
        <v>295</v>
      </c>
      <c r="B313" s="57" cm="1">
        <f t="array" ref="B313:F313">runReactor(B312:F312,$B$2,$B$3,A312,A313,$B$8)</f>
        <v>137239.74016237023</v>
      </c>
      <c r="C313" s="57">
        <v>9.4896805086378819</v>
      </c>
      <c r="D313" s="57">
        <v>1.0582872648551615E-2</v>
      </c>
      <c r="E313" s="57">
        <v>248.81113621006043</v>
      </c>
      <c r="F313" s="58">
        <v>11446408.440093756</v>
      </c>
    </row>
    <row r="314" spans="1:6" ht="16.5" customHeight="1">
      <c r="A314" s="56">
        <f t="shared" si="4"/>
        <v>296</v>
      </c>
      <c r="B314" s="57" cm="1">
        <f t="array" ref="B314:F314">runReactor(B313:F313,$B$2,$B$3,A313,A314,$B$8)</f>
        <v>137705.90358431908</v>
      </c>
      <c r="C314" s="57">
        <v>9.4575552038277291</v>
      </c>
      <c r="D314" s="57">
        <v>1.0583529758773027E-2</v>
      </c>
      <c r="E314" s="57">
        <v>248.82692876357726</v>
      </c>
      <c r="F314" s="58">
        <v>11446407.54190073</v>
      </c>
    </row>
    <row r="315" spans="1:6" ht="16.5" customHeight="1">
      <c r="A315" s="56">
        <f t="shared" si="4"/>
        <v>297</v>
      </c>
      <c r="B315" s="57" cm="1">
        <f t="array" ref="B315:F315">runReactor(B314:F314,$B$2,$B$3,A314,A315,$B$8)</f>
        <v>138172.06700626793</v>
      </c>
      <c r="C315" s="57">
        <v>9.4256466720790701</v>
      </c>
      <c r="D315" s="57">
        <v>1.0584182467977439E-2</v>
      </c>
      <c r="E315" s="57">
        <v>248.84261475312789</v>
      </c>
      <c r="F315" s="58">
        <v>11446406.6498423</v>
      </c>
    </row>
    <row r="316" spans="1:6" ht="16.5" customHeight="1">
      <c r="A316" s="56">
        <f t="shared" si="4"/>
        <v>298</v>
      </c>
      <c r="B316" s="57" cm="1">
        <f t="array" ref="B316:F316">runReactor(B315:F315,$B$2,$B$3,A315,A316,$B$8)</f>
        <v>138638.23042821678</v>
      </c>
      <c r="C316" s="57">
        <v>9.3939527266779983</v>
      </c>
      <c r="D316" s="57">
        <v>1.0584830820234373E-2</v>
      </c>
      <c r="E316" s="57">
        <v>248.85819525368359</v>
      </c>
      <c r="F316" s="58">
        <v>11446405.763855806</v>
      </c>
    </row>
    <row r="317" spans="1:6" ht="16.5" customHeight="1">
      <c r="A317" s="56">
        <f t="shared" si="4"/>
        <v>299</v>
      </c>
      <c r="B317" s="57" cm="1">
        <f t="array" ref="B317:F317">runReactor(B316:F316,$B$2,$B$3,A316,A317,$B$8)</f>
        <v>139104.39385016562</v>
      </c>
      <c r="C317" s="57">
        <v>9.3624712102235748</v>
      </c>
      <c r="D317" s="57">
        <v>1.0585474859025657E-2</v>
      </c>
      <c r="E317" s="57">
        <v>248.87367132580613</v>
      </c>
      <c r="F317" s="58">
        <v>11446404.88387944</v>
      </c>
    </row>
    <row r="318" spans="1:6" ht="16.5" customHeight="1">
      <c r="A318" s="56">
        <f t="shared" si="4"/>
        <v>300</v>
      </c>
      <c r="B318" s="57" cm="1">
        <f t="array" ref="B318:F318">runReactor(B317:F317,$B$2,$B$3,A317,A318,$B$8)</f>
        <v>139570.55727211447</v>
      </c>
      <c r="C318" s="57">
        <v>9.3311999941382826</v>
      </c>
      <c r="D318" s="57">
        <v>1.0586114627256511E-2</v>
      </c>
      <c r="E318" s="57">
        <v>248.88904401588778</v>
      </c>
      <c r="F318" s="58">
        <v>11446404.009852231</v>
      </c>
    </row>
    <row r="319" spans="1:6" ht="16.5" customHeight="1">
      <c r="A319" s="56">
        <f t="shared" si="4"/>
        <v>301</v>
      </c>
      <c r="B319" s="57" cm="1">
        <f t="array" ref="B319:F319">runReactor(B318:F318,$B$2,$B$3,A318,A319,$B$8)</f>
        <v>140036.72069406332</v>
      </c>
      <c r="C319" s="57">
        <v>9.3001369781882648</v>
      </c>
      <c r="D319" s="57">
        <v>1.0586750167264611E-2</v>
      </c>
      <c r="E319" s="57">
        <v>248.90431435638737</v>
      </c>
      <c r="F319" s="58">
        <v>11446403.141714016</v>
      </c>
    </row>
    <row r="320" spans="1:6" ht="16.5" customHeight="1">
      <c r="A320" s="56">
        <f t="shared" si="4"/>
        <v>302</v>
      </c>
      <c r="B320" s="57" cm="1">
        <f t="array" ref="B320:F320">runReactor(B319:F319,$B$2,$B$3,A319,A320,$B$8)</f>
        <v>140502.88411601217</v>
      </c>
      <c r="C320" s="57">
        <v>9.2692800900131047</v>
      </c>
      <c r="D320" s="57">
        <v>1.0587381520830441E-2</v>
      </c>
      <c r="E320" s="57">
        <v>248.91948336606075</v>
      </c>
      <c r="F320" s="58">
        <v>11446402.279405469</v>
      </c>
    </row>
    <row r="321" spans="1:6" ht="16.5" customHeight="1">
      <c r="A321" s="56">
        <f t="shared" si="4"/>
        <v>303</v>
      </c>
      <c r="B321" s="57" cm="1">
        <f t="array" ref="B321:F321">runReactor(B320:F320,$B$2,$B$3,A320,A321,$B$8)</f>
        <v>140969.04753796101</v>
      </c>
      <c r="C321" s="57">
        <v>9.2386272846649806</v>
      </c>
      <c r="D321" s="57">
        <v>1.0588008729185716E-2</v>
      </c>
      <c r="E321" s="57">
        <v>248.93455205018859</v>
      </c>
      <c r="F321" s="58">
        <v>11446401.422868034</v>
      </c>
    </row>
    <row r="322" spans="1:6" ht="16.5" customHeight="1">
      <c r="A322" s="56">
        <f t="shared" si="4"/>
        <v>304</v>
      </c>
      <c r="B322" s="57" cm="1">
        <f t="array" ref="B322:F322">runReactor(B321:F321,$B$2,$B$3,A321,A322,$B$8)</f>
        <v>141435.21095990986</v>
      </c>
      <c r="C322" s="57">
        <v>9.2081765441568812</v>
      </c>
      <c r="D322" s="57">
        <v>1.0588631833022104E-2</v>
      </c>
      <c r="E322" s="57">
        <v>248.94952140079806</v>
      </c>
      <c r="F322" s="58">
        <v>11446400.572043933</v>
      </c>
    </row>
    <row r="323" spans="1:6" ht="16.5" customHeight="1">
      <c r="A323" s="56">
        <f t="shared" si="4"/>
        <v>305</v>
      </c>
      <c r="B323" s="57" cm="1">
        <f t="array" ref="B323:F323">runReactor(B322:F322,$B$2,$B$3,A322,A323,$B$8)</f>
        <v>141901.37438185871</v>
      </c>
      <c r="C323" s="57">
        <v>9.1779258770197281</v>
      </c>
      <c r="D323" s="57">
        <v>1.0589250872500795E-2</v>
      </c>
      <c r="E323" s="57">
        <v>248.96439239687953</v>
      </c>
      <c r="F323" s="58">
        <v>11446399.726876171</v>
      </c>
    </row>
    <row r="324" spans="1:6" ht="16.5" customHeight="1">
      <c r="A324" s="56">
        <f t="shared" si="4"/>
        <v>306</v>
      </c>
      <c r="B324" s="57" cm="1">
        <f t="array" ref="B324:F324">runReactor(B323:F323,$B$2,$B$3,A323,A324,$B$8)</f>
        <v>142367.53780380756</v>
      </c>
      <c r="C324" s="57">
        <v>9.1478733178682727</v>
      </c>
      <c r="D324" s="57">
        <v>1.0589865887260901E-2</v>
      </c>
      <c r="E324" s="57">
        <v>248.97916600460155</v>
      </c>
      <c r="F324" s="58">
        <v>11446398.887308514</v>
      </c>
    </row>
    <row r="325" spans="1:6" ht="16.5" customHeight="1">
      <c r="A325" s="56">
        <f t="shared" si="4"/>
        <v>307</v>
      </c>
      <c r="B325" s="57" cm="1">
        <f t="array" ref="B325:F325">runReactor(B324:F324,$B$2,$B$3,A324,A325,$B$8)</f>
        <v>142833.70122575641</v>
      </c>
      <c r="C325" s="57">
        <v>9.1180169269753968</v>
      </c>
      <c r="D325" s="57">
        <v>1.0590476916427064E-2</v>
      </c>
      <c r="E325" s="57">
        <v>248.99384317751858</v>
      </c>
      <c r="F325" s="58">
        <v>11446398.053285452</v>
      </c>
    </row>
    <row r="326" spans="1:6" ht="16.5" customHeight="1">
      <c r="A326" s="56">
        <f t="shared" si="4"/>
        <v>308</v>
      </c>
      <c r="B326" s="57" cm="1">
        <f t="array" ref="B326:F326">runReactor(B325:F325,$B$2,$B$3,A325,A326,$B$8)</f>
        <v>143299.86464770525</v>
      </c>
      <c r="C326" s="57">
        <v>9.0883547898547832</v>
      </c>
      <c r="D326" s="57">
        <v>1.0591083998618443E-2</v>
      </c>
      <c r="E326" s="57">
        <v>249.00842485677731</v>
      </c>
      <c r="F326" s="58">
        <v>11446397.224752232</v>
      </c>
    </row>
    <row r="327" spans="1:6" ht="16.5" customHeight="1">
      <c r="A327" s="56">
        <f t="shared" si="4"/>
        <v>309</v>
      </c>
      <c r="B327" s="57" cm="1">
        <f t="array" ref="B327:F327">runReactor(B326:F326,$B$2,$B$3,A326,A327,$B$8)</f>
        <v>143766.0280696541</v>
      </c>
      <c r="C327" s="57">
        <v>9.0588850168516704</v>
      </c>
      <c r="D327" s="57">
        <v>1.0591687171957432E-2</v>
      </c>
      <c r="E327" s="57">
        <v>249.02291197131757</v>
      </c>
      <c r="F327" s="58">
        <v>11446396.401654787</v>
      </c>
    </row>
    <row r="328" spans="1:6" ht="16.5" customHeight="1">
      <c r="A328" s="56">
        <f t="shared" si="4"/>
        <v>310</v>
      </c>
      <c r="B328" s="57" cm="1">
        <f t="array" ref="B328:F328">runReactor(B327:F327,$B$2,$B$3,A327,A328,$B$8)</f>
        <v>144232.19149160295</v>
      </c>
      <c r="C328" s="57">
        <v>9.029605742741559</v>
      </c>
      <c r="D328" s="57">
        <v>1.0592286474077341E-2</v>
      </c>
      <c r="E328" s="57">
        <v>249.03730543806915</v>
      </c>
      <c r="F328" s="58">
        <v>11446395.583939794</v>
      </c>
    </row>
    <row r="329" spans="1:6" ht="16.5" customHeight="1">
      <c r="A329" s="56">
        <f t="shared" si="4"/>
        <v>311</v>
      </c>
      <c r="B329" s="57" cm="1">
        <f t="array" ref="B329:F329">runReactor(B328:F328,$B$2,$B$3,A328,A329,$B$8)</f>
        <v>144698.3549135518</v>
      </c>
      <c r="C329" s="57">
        <v>9.0005151263367402</v>
      </c>
      <c r="D329" s="57">
        <v>1.0592881942128526E-2</v>
      </c>
      <c r="E329" s="57">
        <v>249.05160616214584</v>
      </c>
      <c r="F329" s="58">
        <v>11446394.771554597</v>
      </c>
    </row>
    <row r="330" spans="1:6" ht="16.5" customHeight="1">
      <c r="A330" s="56">
        <f t="shared" si="4"/>
        <v>312</v>
      </c>
      <c r="B330" s="57" cm="1">
        <f t="array" ref="B330:F330">runReactor(B329:F329,$B$2,$B$3,A329,A330,$B$8)</f>
        <v>145164.51833550064</v>
      </c>
      <c r="C330" s="57">
        <v>8.9716113501002486</v>
      </c>
      <c r="D330" s="57">
        <v>1.0593473612788345E-2</v>
      </c>
      <c r="E330" s="57">
        <v>249.06581503703438</v>
      </c>
      <c r="F330" s="58">
        <v>11446393.964447243</v>
      </c>
    </row>
    <row r="331" spans="1:6" ht="16.5" customHeight="1">
      <c r="A331" s="56">
        <f t="shared" si="4"/>
        <v>313</v>
      </c>
      <c r="B331" s="57" cm="1">
        <f t="array" ref="B331:F331">runReactor(B330:F330,$B$2,$B$3,A330,A331,$B$8)</f>
        <v>145630.68175744949</v>
      </c>
      <c r="C331" s="57">
        <v>8.9428926197673952</v>
      </c>
      <c r="D331" s="57">
        <v>1.0594061522267401E-2</v>
      </c>
      <c r="E331" s="57">
        <v>249.07993294478172</v>
      </c>
      <c r="F331" s="58">
        <v>11446393.162566446</v>
      </c>
    </row>
    <row r="332" spans="1:6" ht="16.5" customHeight="1">
      <c r="A332" s="56">
        <f t="shared" si="4"/>
        <v>314</v>
      </c>
      <c r="B332" s="57" cm="1">
        <f t="array" ref="B332:F332">runReactor(B331:F331,$B$2,$B$3,A331,A332,$B$8)</f>
        <v>146096.84517939834</v>
      </c>
      <c r="C332" s="57">
        <v>8.9143571639744206</v>
      </c>
      <c r="D332" s="57">
        <v>1.0594645706317863E-2</v>
      </c>
      <c r="E332" s="57">
        <v>249.09396075617636</v>
      </c>
      <c r="F332" s="58">
        <v>11446392.365861582</v>
      </c>
    </row>
    <row r="333" spans="1:6" ht="16.5" customHeight="1">
      <c r="A333" s="56">
        <f t="shared" si="4"/>
        <v>315</v>
      </c>
      <c r="B333" s="57" cm="1">
        <f t="array" ref="B333:F333">runReactor(B332:F332,$B$2,$B$3,A332,A333,$B$8)</f>
        <v>146563.00860134719</v>
      </c>
      <c r="C333" s="57">
        <v>8.886003233894332</v>
      </c>
      <c r="D333" s="57">
        <v>1.0595226200241116E-2</v>
      </c>
      <c r="E333" s="57">
        <v>249.10789933092843</v>
      </c>
      <c r="F333" s="58">
        <v>11446391.574282674</v>
      </c>
    </row>
    <row r="334" spans="1:6" ht="16.5" customHeight="1">
      <c r="A334" s="56">
        <f t="shared" si="4"/>
        <v>316</v>
      </c>
      <c r="B334" s="57" cm="1">
        <f t="array" ref="B334:F334">runReactor(B333:F333,$B$2,$B$3,A333,A334,$B$8)</f>
        <v>147029.17202329604</v>
      </c>
      <c r="C334" s="57">
        <v>8.857829102879629</v>
      </c>
      <c r="D334" s="57">
        <v>1.0595803038891325E-2</v>
      </c>
      <c r="E334" s="57">
        <v>249.12174951784422</v>
      </c>
      <c r="F334" s="58">
        <v>11446390.787780395</v>
      </c>
    </row>
    <row r="335" spans="1:6" ht="16.5" customHeight="1">
      <c r="A335" s="56">
        <f t="shared" si="4"/>
        <v>317</v>
      </c>
      <c r="B335" s="57" cm="1">
        <f t="array" ref="B335:F335">runReactor(B334:F334,$B$2,$B$3,A334,A335,$B$8)</f>
        <v>147495.33544524488</v>
      </c>
      <c r="C335" s="57">
        <v>8.829833066111755</v>
      </c>
      <c r="D335" s="57">
        <v>1.0596376256687148E-2</v>
      </c>
      <c r="E335" s="57">
        <v>249.13551215499956</v>
      </c>
      <c r="F335" s="58">
        <v>11446390.006306037</v>
      </c>
    </row>
    <row r="336" spans="1:6" ht="16.5" customHeight="1">
      <c r="A336" s="56">
        <f t="shared" si="4"/>
        <v>318</v>
      </c>
      <c r="B336" s="57" cm="1">
        <f t="array" ref="B336:F336">runReactor(B335:F335,$B$2,$B$3,A335,A336,$B$8)</f>
        <v>147961.49886719373</v>
      </c>
      <c r="C336" s="57">
        <v>8.8020134402572676</v>
      </c>
      <c r="D336" s="57">
        <v>1.0596945887615233E-2</v>
      </c>
      <c r="E336" s="57">
        <v>249.14918806990786</v>
      </c>
      <c r="F336" s="58">
        <v>11446389.229811538</v>
      </c>
    </row>
    <row r="337" spans="1:6" ht="16.5" customHeight="1">
      <c r="A337" s="56">
        <f t="shared" si="4"/>
        <v>319</v>
      </c>
      <c r="B337" s="57" cm="1">
        <f t="array" ref="B337:F337">runReactor(B336:F336,$B$2,$B$3,A336,A337,$B$8)</f>
        <v>148427.66228914258</v>
      </c>
      <c r="C337" s="57">
        <v>8.7743685631304125</v>
      </c>
      <c r="D337" s="57">
        <v>1.0597511965239375E-2</v>
      </c>
      <c r="E337" s="57">
        <v>249.16277807968692</v>
      </c>
      <c r="F337" s="58">
        <v>11446388.45824942</v>
      </c>
    </row>
    <row r="338" spans="1:6" ht="16.5" customHeight="1">
      <c r="A338" s="56">
        <f t="shared" si="4"/>
        <v>320</v>
      </c>
      <c r="B338" s="57" cm="1">
        <f t="array" ref="B338:F338">runReactor(B337:F337,$B$2,$B$3,A337,A338,$B$8)</f>
        <v>148893.82571109143</v>
      </c>
      <c r="C338" s="57">
        <v>8.7468967933620778</v>
      </c>
      <c r="D338" s="57">
        <v>1.0598074522704524E-2</v>
      </c>
      <c r="E338" s="57">
        <v>249.17628299122117</v>
      </c>
      <c r="F338" s="58">
        <v>11446387.691572824</v>
      </c>
    </row>
    <row r="339" spans="1:6" ht="16.5" customHeight="1">
      <c r="A339" s="56">
        <f t="shared" si="4"/>
        <v>321</v>
      </c>
      <c r="B339" s="57" cm="1">
        <f t="array" ref="B339:F339">runReactor(B338:F338,$B$2,$B$3,A338,A339,$B$8)</f>
        <v>149359.98913304028</v>
      </c>
      <c r="C339" s="57">
        <v>8.7195965100749326</v>
      </c>
      <c r="D339" s="57">
        <v>1.0598633592746319E-2</v>
      </c>
      <c r="E339" s="57">
        <v>249.18970360132133</v>
      </c>
      <c r="F339" s="58">
        <v>11446386.929735472</v>
      </c>
    </row>
    <row r="340" spans="1:6" ht="16.5" customHeight="1">
      <c r="A340" s="56">
        <f t="shared" ref="A340:A403" si="5">A339+1</f>
        <v>322</v>
      </c>
      <c r="B340" s="57" cm="1">
        <f t="array" ref="B340:F340">runReactor(B339:F339,$B$2,$B$3,A339,A340,$B$8)</f>
        <v>149826.15255498912</v>
      </c>
      <c r="C340" s="57">
        <v>8.6924661125646256</v>
      </c>
      <c r="D340" s="57">
        <v>1.059918920769431E-2</v>
      </c>
      <c r="E340" s="57">
        <v>249.20304069688115</v>
      </c>
      <c r="F340" s="58">
        <v>11446386.172691671</v>
      </c>
    </row>
    <row r="341" spans="1:6" ht="16.5" customHeight="1">
      <c r="A341" s="56">
        <f t="shared" si="5"/>
        <v>323</v>
      </c>
      <c r="B341" s="57" cm="1">
        <f t="array" ref="B341:F341">runReactor(B340:F340,$B$2,$B$3,A340,A341,$B$8)</f>
        <v>150292.31597693797</v>
      </c>
      <c r="C341" s="57">
        <v>8.6655040199869582</v>
      </c>
      <c r="D341" s="57">
        <v>1.0599741399480432E-2</v>
      </c>
      <c r="E341" s="57">
        <v>249.21629505503159</v>
      </c>
      <c r="F341" s="58">
        <v>11446385.420396309</v>
      </c>
    </row>
    <row r="342" spans="1:6" ht="16.5" customHeight="1">
      <c r="A342" s="56">
        <f t="shared" si="5"/>
        <v>324</v>
      </c>
      <c r="B342" s="57" cm="1">
        <f t="array" ref="B342:F342">runReactor(B341:F341,$B$2,$B$3,A341,A342,$B$8)</f>
        <v>150758.47939888682</v>
      </c>
      <c r="C342" s="57">
        <v>8.638708671050777</v>
      </c>
      <c r="D342" s="57">
        <v>1.0600290199643892E-2</v>
      </c>
      <c r="E342" s="57">
        <v>249.22946744329124</v>
      </c>
      <c r="F342" s="58">
        <v>11446384.672804836</v>
      </c>
    </row>
    <row r="343" spans="1:6" ht="16.5" customHeight="1">
      <c r="A343" s="56">
        <f t="shared" si="5"/>
        <v>325</v>
      </c>
      <c r="B343" s="57" cm="1">
        <f t="array" ref="B343:F343">runReactor(B342:F342,$B$2,$B$3,A342,A343,$B$8)</f>
        <v>151224.64282083567</v>
      </c>
      <c r="C343" s="57">
        <v>8.6120785237166331</v>
      </c>
      <c r="D343" s="57">
        <v>1.0600835639338167E-2</v>
      </c>
      <c r="E343" s="57">
        <v>249.24255861971471</v>
      </c>
      <c r="F343" s="58">
        <v>11446383.929873252</v>
      </c>
    </row>
    <row r="344" spans="1:6" ht="16.5" customHeight="1">
      <c r="A344" s="56">
        <f t="shared" si="5"/>
        <v>326</v>
      </c>
      <c r="B344" s="57" cm="1">
        <f t="array" ref="B344:F344">runReactor(B343:F343,$B$2,$B$3,A343,A344,$B$8)</f>
        <v>151690.80624278451</v>
      </c>
      <c r="C344" s="57">
        <v>8.5856120549009525</v>
      </c>
      <c r="D344" s="57">
        <v>1.0601377749335707E-2</v>
      </c>
      <c r="E344" s="57">
        <v>249.25556933303812</v>
      </c>
      <c r="F344" s="58">
        <v>11446383.1915581</v>
      </c>
    </row>
    <row r="345" spans="1:6" ht="16.5" customHeight="1">
      <c r="A345" s="56">
        <f t="shared" si="5"/>
        <v>327</v>
      </c>
      <c r="B345" s="57" cm="1">
        <f t="array" ref="B345:F345">runReactor(B344:F344,$B$2,$B$3,A344,A345,$B$8)</f>
        <v>152156.96966473336</v>
      </c>
      <c r="C345" s="57">
        <v>8.55930776018565</v>
      </c>
      <c r="D345" s="57">
        <v>1.0601916560034683E-2</v>
      </c>
      <c r="E345" s="57">
        <v>249.26850032282192</v>
      </c>
      <c r="F345" s="58">
        <v>11446382.457816474</v>
      </c>
    </row>
    <row r="346" spans="1:6" ht="16.5" customHeight="1">
      <c r="A346" s="56">
        <f t="shared" si="5"/>
        <v>328</v>
      </c>
      <c r="B346" s="57" cm="1">
        <f t="array" ref="B346:F346">runReactor(B345:F345,$B$2,$B$3,A345,A346,$B$8)</f>
        <v>152623.13308668221</v>
      </c>
      <c r="C346" s="57">
        <v>8.5331641535330753</v>
      </c>
      <c r="D346" s="57">
        <v>1.0602452101464313E-2</v>
      </c>
      <c r="E346" s="57">
        <v>249.28135231959035</v>
      </c>
      <c r="F346" s="58">
        <v>11446381.728606002</v>
      </c>
    </row>
    <row r="347" spans="1:6" ht="16.5" customHeight="1">
      <c r="A347" s="56">
        <f t="shared" si="5"/>
        <v>329</v>
      </c>
      <c r="B347" s="57" cm="1">
        <f t="array" ref="B347:F347">runReactor(B346:F346,$B$2,$B$3,A346,A347,$B$8)</f>
        <v>153089.29650863106</v>
      </c>
      <c r="C347" s="57">
        <v>8.50717976700615</v>
      </c>
      <c r="D347" s="57">
        <v>1.0602984403290742E-2</v>
      </c>
      <c r="E347" s="57">
        <v>249.2941260449702</v>
      </c>
      <c r="F347" s="58">
        <v>11446381.00388483</v>
      </c>
    </row>
    <row r="348" spans="1:6" ht="16.5" customHeight="1">
      <c r="A348" s="56">
        <f t="shared" si="5"/>
        <v>330</v>
      </c>
      <c r="B348" s="57" cm="1">
        <f t="array" ref="B348:F348">runReactor(B347:F347,$B$2,$B$3,A347,A348,$B$8)</f>
        <v>153555.45993057991</v>
      </c>
      <c r="C348" s="57">
        <v>8.4813531504936392</v>
      </c>
      <c r="D348" s="57">
        <v>1.0603513494821526E-2</v>
      </c>
      <c r="E348" s="57">
        <v>249.30682221182514</v>
      </c>
      <c r="F348" s="58">
        <v>11446380.283611603</v>
      </c>
    </row>
    <row r="349" spans="1:6" ht="16.5" customHeight="1">
      <c r="A349" s="56">
        <f t="shared" si="5"/>
        <v>331</v>
      </c>
      <c r="B349" s="57" cm="1">
        <f t="array" ref="B349:F349">runReactor(B348:F348,$B$2,$B$3,A348,A349,$B$8)</f>
        <v>154021.62335252875</v>
      </c>
      <c r="C349" s="57">
        <v>8.4556828714403487</v>
      </c>
      <c r="D349" s="57">
        <v>1.0604039405012094E-2</v>
      </c>
      <c r="E349" s="57">
        <v>249.31944152438777</v>
      </c>
      <c r="F349" s="58">
        <v>11446379.567745477</v>
      </c>
    </row>
    <row r="350" spans="1:6" ht="16.5" customHeight="1">
      <c r="A350" s="56">
        <f t="shared" si="5"/>
        <v>332</v>
      </c>
      <c r="B350" s="57" cm="1">
        <f t="array" ref="B350:F350">runReactor(B349:F349,$B$2,$B$3,A349,A350,$B$8)</f>
        <v>154487.7867744776</v>
      </c>
      <c r="C350" s="57">
        <v>8.4301675145822745</v>
      </c>
      <c r="D350" s="57">
        <v>1.0604562162471142E-2</v>
      </c>
      <c r="E350" s="57">
        <v>249.33198467839117</v>
      </c>
      <c r="F350" s="58">
        <v>11446378.856246131</v>
      </c>
    </row>
    <row r="351" spans="1:6" ht="16.5" customHeight="1">
      <c r="A351" s="56">
        <f t="shared" si="5"/>
        <v>333</v>
      </c>
      <c r="B351" s="57" cm="1">
        <f t="array" ref="B351:F351">runReactor(B350:F350,$B$2,$B$3,A350,A351,$B$8)</f>
        <v>154953.95019642645</v>
      </c>
      <c r="C351" s="57">
        <v>8.40480568168649</v>
      </c>
      <c r="D351" s="57">
        <v>1.0605081795464421E-2</v>
      </c>
      <c r="E351" s="57">
        <v>249.34445236119586</v>
      </c>
      <c r="F351" s="58">
        <v>11446378.149073703</v>
      </c>
    </row>
    <row r="352" spans="1:6" ht="16.5" customHeight="1">
      <c r="A352" s="56">
        <f t="shared" si="5"/>
        <v>334</v>
      </c>
      <c r="B352" s="57" cm="1">
        <f t="array" ref="B352:F352">runReactor(B351:F351,$B$2,$B$3,A351,A352,$B$8)</f>
        <v>155420.1136183753</v>
      </c>
      <c r="C352" s="57">
        <v>8.379595991295723</v>
      </c>
      <c r="D352" s="57">
        <v>1.0605598331921874E-2</v>
      </c>
      <c r="E352" s="57">
        <v>249.3568452519157</v>
      </c>
      <c r="F352" s="58">
        <v>11446377.446188835</v>
      </c>
    </row>
    <row r="353" spans="1:6" ht="16.5" customHeight="1">
      <c r="A353" s="56">
        <f t="shared" si="5"/>
        <v>335</v>
      </c>
      <c r="B353" s="57" cm="1">
        <f t="array" ref="B353:F353">runReactor(B352:F352,$B$2,$B$3,A352,A353,$B$8)</f>
        <v>155886.27704032414</v>
      </c>
      <c r="C353" s="57">
        <v>8.3545370784775255</v>
      </c>
      <c r="D353" s="57">
        <v>1.0606111799440928E-2</v>
      </c>
      <c r="E353" s="57">
        <v>249.36916402154071</v>
      </c>
      <c r="F353" s="58">
        <v>11446376.747552631</v>
      </c>
    </row>
    <row r="354" spans="1:6" ht="16.5" customHeight="1">
      <c r="A354" s="56">
        <f t="shared" si="5"/>
        <v>336</v>
      </c>
      <c r="B354" s="57" cm="1">
        <f t="array" ref="B354:F354">runReactor(B353:F353,$B$2,$B$3,A353,A354,$B$8)</f>
        <v>156352.44046227299</v>
      </c>
      <c r="C354" s="57">
        <v>8.3296275945779357</v>
      </c>
      <c r="D354" s="57">
        <v>1.0606622225293037E-2</v>
      </c>
      <c r="E354" s="57">
        <v>249.38140933305883</v>
      </c>
      <c r="F354" s="58">
        <v>11446376.053126661</v>
      </c>
    </row>
    <row r="355" spans="1:6" ht="16.5" customHeight="1">
      <c r="A355" s="56">
        <f t="shared" si="5"/>
        <v>337</v>
      </c>
      <c r="B355" s="57" cm="1">
        <f t="array" ref="B355:F355">runReactor(B354:F354,$B$2,$B$3,A354,A355,$B$8)</f>
        <v>156818.60388422184</v>
      </c>
      <c r="C355" s="57">
        <v>8.3048662069795132</v>
      </c>
      <c r="D355" s="57">
        <v>1.0607129636426321E-2</v>
      </c>
      <c r="E355" s="57">
        <v>249.3935818415743</v>
      </c>
      <c r="F355" s="58">
        <v>11446375.362872999</v>
      </c>
    </row>
    <row r="356" spans="1:6" ht="16.5" customHeight="1">
      <c r="A356" s="56">
        <f t="shared" si="5"/>
        <v>338</v>
      </c>
      <c r="B356" s="57" cm="1">
        <f t="array" ref="B356:F356">runReactor(B355:F355,$B$2,$B$3,A355,A356,$B$8)</f>
        <v>157284.76730617069</v>
      </c>
      <c r="C356" s="57">
        <v>8.2802515988637015</v>
      </c>
      <c r="D356" s="57">
        <v>1.0607634059471337E-2</v>
      </c>
      <c r="E356" s="57">
        <v>249.40568219442517</v>
      </c>
      <c r="F356" s="58">
        <v>11446374.676754134</v>
      </c>
    </row>
    <row r="357" spans="1:6" ht="16.5" customHeight="1">
      <c r="A357" s="56">
        <f t="shared" si="5"/>
        <v>339</v>
      </c>
      <c r="B357" s="57" cm="1">
        <f t="array" ref="B357:F357">runReactor(B356:F356,$B$2,$B$3,A356,A357,$B$8)</f>
        <v>157750.93072811954</v>
      </c>
      <c r="C357" s="57">
        <v>8.2557824689773529</v>
      </c>
      <c r="D357" s="57">
        <v>1.0608135520746147E-2</v>
      </c>
      <c r="E357" s="57">
        <v>249.4177110312973</v>
      </c>
      <c r="F357" s="58">
        <v>11446373.994733013</v>
      </c>
    </row>
    <row r="358" spans="1:6" ht="16.5" customHeight="1">
      <c r="A358" s="56">
        <f t="shared" si="5"/>
        <v>340</v>
      </c>
      <c r="B358" s="57" cm="1">
        <f t="array" ref="B358:F358">runReactor(B357:F357,$B$2,$B$3,A357,A358,$B$8)</f>
        <v>158217.09415006838</v>
      </c>
      <c r="C358" s="57">
        <v>8.231457531403457</v>
      </c>
      <c r="D358" s="57">
        <v>1.0608634046261259E-2</v>
      </c>
      <c r="E358" s="57">
        <v>249.42966898433764</v>
      </c>
      <c r="F358" s="58">
        <v>11446373.31677301</v>
      </c>
    </row>
    <row r="359" spans="1:6" ht="16.5" customHeight="1">
      <c r="A359" s="56">
        <f t="shared" si="5"/>
        <v>341</v>
      </c>
      <c r="B359" s="57" cm="1">
        <f t="array" ref="B359:F359">runReactor(B358:F358,$B$2,$B$3,A358,A359,$B$8)</f>
        <v>158683.25757201723</v>
      </c>
      <c r="C359" s="57">
        <v>8.2072755153358639</v>
      </c>
      <c r="D359" s="57">
        <v>1.0609129661722236E-2</v>
      </c>
      <c r="E359" s="57">
        <v>249.44155667826487</v>
      </c>
      <c r="F359" s="58">
        <v>11446372.642837947</v>
      </c>
    </row>
    <row r="360" spans="1:6" ht="16.5" customHeight="1">
      <c r="A360" s="56">
        <f t="shared" si="5"/>
        <v>342</v>
      </c>
      <c r="B360" s="57" cm="1">
        <f t="array" ref="B360:F360">runReactor(B359:F359,$B$2,$B$3,A359,A360,$B$8)</f>
        <v>159149.42099396608</v>
      </c>
      <c r="C360" s="57">
        <v>8.183235164857944</v>
      </c>
      <c r="D360" s="57">
        <v>1.060962239253615E-2</v>
      </c>
      <c r="E360" s="57">
        <v>249.45337473047746</v>
      </c>
      <c r="F360" s="58">
        <v>11446371.972892094</v>
      </c>
    </row>
    <row r="361" spans="1:6" ht="16.5" customHeight="1">
      <c r="A361" s="56">
        <f t="shared" si="5"/>
        <v>343</v>
      </c>
      <c r="B361" s="57" cm="1">
        <f t="array" ref="B361:F361">runReactor(B360:F360,$B$2,$B$3,A360,A361,$B$8)</f>
        <v>159615.58441591493</v>
      </c>
      <c r="C361" s="57">
        <v>8.1593352387251912</v>
      </c>
      <c r="D361" s="57">
        <v>1.0610112263816234E-2</v>
      </c>
      <c r="E361" s="57">
        <v>249.46512375116188</v>
      </c>
      <c r="F361" s="58">
        <v>11446371.306900108</v>
      </c>
    </row>
    <row r="362" spans="1:6" ht="16.5" customHeight="1">
      <c r="A362" s="56">
        <f t="shared" si="5"/>
        <v>344</v>
      </c>
      <c r="B362" s="57" cm="1">
        <f t="array" ref="B362:F362">runReactor(B361:F361,$B$2,$B$3,A361,A362,$B$8)</f>
        <v>160081.74783786378</v>
      </c>
      <c r="C362" s="57">
        <v>8.1355745101515797</v>
      </c>
      <c r="D362" s="57">
        <v>1.0610599300383723E-2</v>
      </c>
      <c r="E362" s="57">
        <v>249.47680434339662</v>
      </c>
      <c r="F362" s="58">
        <v>11446370.644827086</v>
      </c>
    </row>
    <row r="363" spans="1:6" ht="16.5" customHeight="1">
      <c r="A363" s="56">
        <f t="shared" si="5"/>
        <v>345</v>
      </c>
      <c r="B363" s="57" cm="1">
        <f t="array" ref="B363:F363">runReactor(B362:F362,$B$2,$B$3,A362,A363,$B$8)</f>
        <v>160547.91125981262</v>
      </c>
      <c r="C363" s="57">
        <v>8.111951766599649</v>
      </c>
      <c r="D363" s="57">
        <v>1.061108352677319E-2</v>
      </c>
      <c r="E363" s="57">
        <v>249.48841710325593</v>
      </c>
      <c r="F363" s="58">
        <v>11446369.986638531</v>
      </c>
    </row>
    <row r="364" spans="1:6" ht="16.5" customHeight="1">
      <c r="A364" s="56">
        <f t="shared" si="5"/>
        <v>346</v>
      </c>
      <c r="B364" s="57" cm="1">
        <f t="array" ref="B364:F364">runReactor(B363:F363,$B$2,$B$3,A363,A364,$B$8)</f>
        <v>161014.07468176147</v>
      </c>
      <c r="C364" s="57">
        <v>8.088465809574247</v>
      </c>
      <c r="D364" s="57">
        <v>1.0611564967237544E-2</v>
      </c>
      <c r="E364" s="57">
        <v>249.49996261991049</v>
      </c>
      <c r="F364" s="58">
        <v>11446369.332300337</v>
      </c>
    </row>
    <row r="365" spans="1:6" ht="16.5" customHeight="1">
      <c r="A365" s="56">
        <f t="shared" si="5"/>
        <v>347</v>
      </c>
      <c r="B365" s="57" cm="1">
        <f t="array" ref="B365:F365">runReactor(B364:F364,$B$2,$B$3,A364,A365,$B$8)</f>
        <v>161480.23810371032</v>
      </c>
      <c r="C365" s="57">
        <v>8.0651154544198249</v>
      </c>
      <c r="D365" s="57">
        <v>1.0612043645750918E-2</v>
      </c>
      <c r="E365" s="57">
        <v>249.51144147572811</v>
      </c>
      <c r="F365" s="58">
        <v>11446368.681778807</v>
      </c>
    </row>
    <row r="366" spans="1:6" ht="16.5" customHeight="1">
      <c r="A366" s="56">
        <f t="shared" si="5"/>
        <v>348</v>
      </c>
      <c r="B366" s="57" cm="1">
        <f t="array" ref="B366:F366">runReactor(B365:F365,$B$2,$B$3,A365,A366,$B$8)</f>
        <v>161946.40152565917</v>
      </c>
      <c r="C366" s="57">
        <v>8.0418995301212544</v>
      </c>
      <c r="D366" s="57">
        <v>1.061251958601378E-2</v>
      </c>
      <c r="E366" s="57">
        <v>249.52285424637057</v>
      </c>
      <c r="F366" s="58">
        <v>11446368.035040637</v>
      </c>
    </row>
    <row r="367" spans="1:6" ht="16.5" customHeight="1">
      <c r="A367" s="56">
        <f t="shared" si="5"/>
        <v>349</v>
      </c>
      <c r="B367" s="57" cm="1">
        <f t="array" ref="B367:F367">runReactor(B366:F366,$B$2,$B$3,A366,A367,$B$8)</f>
        <v>162412.56494760801</v>
      </c>
      <c r="C367" s="57">
        <v>8.0188168791080638</v>
      </c>
      <c r="D367" s="57">
        <v>1.0612992811455897E-2</v>
      </c>
      <c r="E367" s="57">
        <v>249.53420150089053</v>
      </c>
      <c r="F367" s="58">
        <v>11446367.392052904</v>
      </c>
    </row>
    <row r="368" spans="1:6" ht="16.5" customHeight="1">
      <c r="A368" s="56">
        <f t="shared" si="5"/>
        <v>350</v>
      </c>
      <c r="B368" s="57" cm="1">
        <f t="array" ref="B368:F368">runReactor(B367:F367,$B$2,$B$3,A367,A368,$B$8)</f>
        <v>162878.72836955686</v>
      </c>
      <c r="C368" s="57">
        <v>7.9958663570620487</v>
      </c>
      <c r="D368" s="57">
        <v>1.0613463345240659E-2</v>
      </c>
      <c r="E368" s="57">
        <v>249.5454838018259</v>
      </c>
      <c r="F368" s="58">
        <v>11446366.752783081</v>
      </c>
    </row>
    <row r="369" spans="1:6" ht="16.5" customHeight="1">
      <c r="A369" s="56">
        <f t="shared" si="5"/>
        <v>351</v>
      </c>
      <c r="B369" s="57" cm="1">
        <f t="array" ref="B369:F369">runReactor(B368:F368,$B$2,$B$3,A368,A369,$B$8)</f>
        <v>163344.89179150571</v>
      </c>
      <c r="C369" s="57">
        <v>7.9730468327281656</v>
      </c>
      <c r="D369" s="57">
        <v>1.0613931210268372E-2</v>
      </c>
      <c r="E369" s="57">
        <v>249.55670170529316</v>
      </c>
      <c r="F369" s="58">
        <v>11446366.117198993</v>
      </c>
    </row>
    <row r="370" spans="1:6" ht="16.5" customHeight="1">
      <c r="A370" s="56">
        <f t="shared" si="5"/>
        <v>352</v>
      </c>
      <c r="B370" s="57" cm="1">
        <f t="array" ref="B370:F370">runReactor(B369:F369,$B$2,$B$3,A369,A370,$B$8)</f>
        <v>163811.05521345456</v>
      </c>
      <c r="C370" s="57">
        <v>7.9503571877286419</v>
      </c>
      <c r="D370" s="57">
        <v>1.061439642918004E-2</v>
      </c>
      <c r="E370" s="57">
        <v>249.56785576107819</v>
      </c>
      <c r="F370" s="58">
        <v>11446365.485268846</v>
      </c>
    </row>
    <row r="371" spans="1:6" ht="16.5" customHeight="1">
      <c r="A371" s="56">
        <f t="shared" si="5"/>
        <v>353</v>
      </c>
      <c r="B371" s="57" cm="1">
        <f t="array" ref="B371:F371">runReactor(B370:F370,$B$2,$B$3,A370,A371,$B$8)</f>
        <v>164277.21863540341</v>
      </c>
      <c r="C371" s="57">
        <v>7.9277963163802774</v>
      </c>
      <c r="D371" s="57">
        <v>1.0614859024361972E-2</v>
      </c>
      <c r="E371" s="57">
        <v>249.57894651272611</v>
      </c>
      <c r="F371" s="58">
        <v>11446364.856961215</v>
      </c>
    </row>
    <row r="372" spans="1:6" ht="16.5" customHeight="1">
      <c r="A372" s="56">
        <f t="shared" si="5"/>
        <v>354</v>
      </c>
      <c r="B372" s="57" cm="1">
        <f t="array" ref="B372:F372">runReactor(B371:F371,$B$2,$B$3,A371,A372,$B$8)</f>
        <v>164743.38205735225</v>
      </c>
      <c r="C372" s="57">
        <v>7.9053631255148415</v>
      </c>
      <c r="D372" s="57">
        <v>1.0615319017948198E-2</v>
      </c>
      <c r="E372" s="57">
        <v>249.58997449763018</v>
      </c>
      <c r="F372" s="58">
        <v>11446364.232245034</v>
      </c>
    </row>
    <row r="373" spans="1:6" ht="16.5" customHeight="1">
      <c r="A373" s="56">
        <f t="shared" si="5"/>
        <v>355</v>
      </c>
      <c r="B373" s="57" cm="1">
        <f t="array" ref="B373:F373">runReactor(B372:F372,$B$2,$B$3,A372,A373,$B$8)</f>
        <v>165209.5454793011</v>
      </c>
      <c r="C373" s="57">
        <v>7.883056534302483</v>
      </c>
      <c r="D373" s="57">
        <v>1.0615776431824833E-2</v>
      </c>
      <c r="E373" s="57">
        <v>249.60094024711788</v>
      </c>
      <c r="F373" s="58">
        <v>11446363.611089585</v>
      </c>
    </row>
    <row r="374" spans="1:6" ht="16.5" customHeight="1">
      <c r="A374" s="56">
        <f t="shared" si="5"/>
        <v>356</v>
      </c>
      <c r="B374" s="57" cm="1">
        <f t="array" ref="B374:F374">runReactor(B373:F373,$B$2,$B$3,A373,A374,$B$8)</f>
        <v>165675.70890124995</v>
      </c>
      <c r="C374" s="57">
        <v>7.8608754740781768</v>
      </c>
      <c r="D374" s="57">
        <v>1.0616231287632699E-2</v>
      </c>
      <c r="E374" s="57">
        <v>249.61184428653655</v>
      </c>
      <c r="F374" s="58">
        <v>11446362.993464496</v>
      </c>
    </row>
    <row r="375" spans="1:6" ht="16.5" customHeight="1">
      <c r="A375" s="56">
        <f t="shared" si="5"/>
        <v>357</v>
      </c>
      <c r="B375" s="57" cm="1">
        <f t="array" ref="B375:F375">runReactor(B374:F374,$B$2,$B$3,A374,A375,$B$8)</f>
        <v>166141.8723231988</v>
      </c>
      <c r="C375" s="57">
        <v>7.8388188881710263</v>
      </c>
      <c r="D375" s="57">
        <v>1.0616683606771473E-2</v>
      </c>
      <c r="E375" s="57">
        <v>249.62268713533783</v>
      </c>
      <c r="F375" s="58">
        <v>11446362.379339766</v>
      </c>
    </row>
    <row r="376" spans="1:6" ht="16.5" customHeight="1">
      <c r="A376" s="56">
        <f t="shared" si="5"/>
        <v>358</v>
      </c>
      <c r="B376" s="57" cm="1">
        <f t="array" ref="B376:F376">runReactor(B375:F375,$B$2,$B$3,A375,A376,$B$8)</f>
        <v>166608.03574514764</v>
      </c>
      <c r="C376" s="57">
        <v>7.8168857317364839</v>
      </c>
      <c r="D376" s="57">
        <v>1.0617133410402865E-2</v>
      </c>
      <c r="E376" s="57">
        <v>249.633469307159</v>
      </c>
      <c r="F376" s="58">
        <v>11446361.76868568</v>
      </c>
    </row>
    <row r="377" spans="1:6" ht="16.5" customHeight="1">
      <c r="A377" s="56">
        <f t="shared" si="5"/>
        <v>359</v>
      </c>
      <c r="B377" s="57" cm="1">
        <f t="array" ref="B377:F377">runReactor(B376:F376,$B$2,$B$3,A376,A377,$B$8)</f>
        <v>167074.19916709649</v>
      </c>
      <c r="C377" s="57">
        <v>7.7950749715913537</v>
      </c>
      <c r="D377" s="57">
        <v>1.0617580719453961E-2</v>
      </c>
      <c r="E377" s="57">
        <v>249.64419130990504</v>
      </c>
      <c r="F377" s="58">
        <v>11446361.161472913</v>
      </c>
    </row>
    <row r="378" spans="1:6" ht="16.5" customHeight="1">
      <c r="A378" s="56">
        <f t="shared" si="5"/>
        <v>360</v>
      </c>
      <c r="B378" s="57" cm="1">
        <f t="array" ref="B378:F378">runReactor(B377:F377,$B$2,$B$3,A377,A378,$B$8)</f>
        <v>167540.36258904534</v>
      </c>
      <c r="C378" s="57">
        <v>7.7733855860515613</v>
      </c>
      <c r="D378" s="57">
        <v>1.0618025554620023E-2</v>
      </c>
      <c r="E378" s="57">
        <v>249.65485364582779</v>
      </c>
      <c r="F378" s="58">
        <v>11446360.557672463</v>
      </c>
    </row>
    <row r="379" spans="1:6" ht="16.5" customHeight="1">
      <c r="A379" s="56">
        <f t="shared" si="5"/>
        <v>361</v>
      </c>
      <c r="B379" s="57" cm="1">
        <f t="array" ref="B379:F379">runReactor(B378:F378,$B$2,$B$3,A378,A379,$B$8)</f>
        <v>168006.52601099419</v>
      </c>
      <c r="C379" s="57">
        <v>7.7518165647726223</v>
      </c>
      <c r="D379" s="57">
        <v>1.0618467936368134E-2</v>
      </c>
      <c r="E379" s="57">
        <v>249.66545681160488</v>
      </c>
      <c r="F379" s="58">
        <v>11446359.957255626</v>
      </c>
    </row>
    <row r="380" spans="1:6" ht="16.5" customHeight="1">
      <c r="A380" s="56">
        <f t="shared" si="5"/>
        <v>362</v>
      </c>
      <c r="B380" s="57" cm="1">
        <f t="array" ref="B380:F380">runReactor(B379:F379,$B$2,$B$3,A379,A380,$B$8)</f>
        <v>168472.68943294304</v>
      </c>
      <c r="C380" s="57">
        <v>7.7303669085927273</v>
      </c>
      <c r="D380" s="57">
        <v>1.0618907884939898E-2</v>
      </c>
      <c r="E380" s="57">
        <v>249.67600129841674</v>
      </c>
      <c r="F380" s="58">
        <v>11446359.360194016</v>
      </c>
    </row>
    <row r="381" spans="1:6" ht="16.5" customHeight="1">
      <c r="A381" s="56">
        <f t="shared" si="5"/>
        <v>363</v>
      </c>
      <c r="B381" s="57" cm="1">
        <f t="array" ref="B381:F381">runReactor(B380:F380,$B$2,$B$3,A380,A381,$B$8)</f>
        <v>168938.85285489188</v>
      </c>
      <c r="C381" s="57">
        <v>7.7090356293785023</v>
      </c>
      <c r="D381" s="57">
        <v>1.0619345420355569E-2</v>
      </c>
      <c r="E381" s="57">
        <v>249.6864875920219</v>
      </c>
      <c r="F381" s="58">
        <v>11446358.766459594</v>
      </c>
    </row>
    <row r="382" spans="1:6" ht="16.5" customHeight="1">
      <c r="A382" s="56">
        <f t="shared" si="5"/>
        <v>364</v>
      </c>
      <c r="B382" s="57" cm="1">
        <f t="array" ref="B382:F382">runReactor(B381:F381,$B$2,$B$3,A381,A382,$B$8)</f>
        <v>169405.01627684073</v>
      </c>
      <c r="C382" s="57">
        <v>7.6878217498732182</v>
      </c>
      <c r="D382" s="57">
        <v>1.0619780562415831E-2</v>
      </c>
      <c r="E382" s="57">
        <v>249.69691617283209</v>
      </c>
      <c r="F382" s="58">
        <v>11446358.176024601</v>
      </c>
    </row>
    <row r="383" spans="1:6" ht="16.5" customHeight="1">
      <c r="A383" s="56">
        <f t="shared" si="5"/>
        <v>365</v>
      </c>
      <c r="B383" s="57" cm="1">
        <f t="array" ref="B383:F383">runReactor(B382:F382,$B$2,$B$3,A382,A383,$B$8)</f>
        <v>169871.17969878958</v>
      </c>
      <c r="C383" s="57">
        <v>7.6667243035475883</v>
      </c>
      <c r="D383" s="57">
        <v>1.0620213330705579E-2</v>
      </c>
      <c r="E383" s="57">
        <v>249.70728751598594</v>
      </c>
      <c r="F383" s="58">
        <v>11446357.588861628</v>
      </c>
    </row>
    <row r="384" spans="1:6" ht="16.5" customHeight="1">
      <c r="A384" s="56">
        <f t="shared" si="5"/>
        <v>366</v>
      </c>
      <c r="B384" s="57" cm="1">
        <f t="array" ref="B384:F384">runReactor(B383:F383,$B$2,$B$3,A383,A384,$B$8)</f>
        <v>170337.34312073843</v>
      </c>
      <c r="C384" s="57">
        <v>7.6457423344529447</v>
      </c>
      <c r="D384" s="57">
        <v>1.0620643744596465E-2</v>
      </c>
      <c r="E384" s="57">
        <v>249.71760209142028</v>
      </c>
      <c r="F384" s="58">
        <v>11446357.004943529</v>
      </c>
    </row>
    <row r="385" spans="1:6" ht="16.5" customHeight="1">
      <c r="A385" s="56">
        <f t="shared" si="5"/>
        <v>367</v>
      </c>
      <c r="B385" s="57" cm="1">
        <f t="array" ref="B385:F385">runReactor(B384:F384,$B$2,$B$3,A384,A385,$B$8)</f>
        <v>170803.50654268728</v>
      </c>
      <c r="C385" s="57">
        <v>7.6248748970768769</v>
      </c>
      <c r="D385" s="57">
        <v>1.0621071823250096E-2</v>
      </c>
      <c r="E385" s="57">
        <v>249.72786036394166</v>
      </c>
      <c r="F385" s="58">
        <v>11446356.424243474</v>
      </c>
    </row>
    <row r="386" spans="1:6" ht="16.5" customHeight="1">
      <c r="A386" s="56">
        <f t="shared" si="5"/>
        <v>368</v>
      </c>
      <c r="B386" s="57" cm="1">
        <f t="array" ref="B386:F386">runReactor(B385:F385,$B$2,$B$3,A385,A386,$B$8)</f>
        <v>171269.66996463612</v>
      </c>
      <c r="C386" s="57">
        <v>7.6041210562011763</v>
      </c>
      <c r="D386" s="57">
        <v>1.0621497585620355E-2</v>
      </c>
      <c r="E386" s="57">
        <v>249.73806279329634</v>
      </c>
      <c r="F386" s="58">
        <v>11446355.846734928</v>
      </c>
    </row>
    <row r="387" spans="1:6" ht="16.5" customHeight="1">
      <c r="A387" s="56">
        <f t="shared" si="5"/>
        <v>369</v>
      </c>
      <c r="B387" s="57" cm="1">
        <f t="array" ref="B387:F387">runReactor(B386:F386,$B$2,$B$3,A386,A387,$B$8)</f>
        <v>171735.83338658497</v>
      </c>
      <c r="C387" s="57">
        <v>7.5834798867621513</v>
      </c>
      <c r="D387" s="57">
        <v>1.0621921050457108E-2</v>
      </c>
      <c r="E387" s="57">
        <v>249.74820983423839</v>
      </c>
      <c r="F387" s="58">
        <v>11446355.272391649</v>
      </c>
    </row>
    <row r="388" spans="1:6" ht="16.5" customHeight="1">
      <c r="A388" s="56">
        <f t="shared" si="5"/>
        <v>370</v>
      </c>
      <c r="B388" s="57" cm="1">
        <f t="array" ref="B388:F388">runReactor(B387:F387,$B$2,$B$3,A387,A388,$B$8)</f>
        <v>172201.99680853382</v>
      </c>
      <c r="C388" s="57">
        <v>7.5629504737131406</v>
      </c>
      <c r="D388" s="57">
        <v>1.0622342236307477E-2</v>
      </c>
      <c r="E388" s="57">
        <v>249.75830193659783</v>
      </c>
      <c r="F388" s="58">
        <v>11446354.701187665</v>
      </c>
    </row>
    <row r="389" spans="1:6" ht="16.5" customHeight="1">
      <c r="A389" s="56">
        <f t="shared" si="5"/>
        <v>371</v>
      </c>
      <c r="B389" s="57" cm="1">
        <f t="array" ref="B389:F389">runReactor(B388:F388,$B$2,$B$3,A388,A389,$B$8)</f>
        <v>172668.16023048267</v>
      </c>
      <c r="C389" s="57">
        <v>7.5425319118893226</v>
      </c>
      <c r="D389" s="57">
        <v>1.0622761161520611E-2</v>
      </c>
      <c r="E389" s="57">
        <v>249.76833954534638</v>
      </c>
      <c r="F389" s="58">
        <v>11446354.133097304</v>
      </c>
    </row>
    <row r="390" spans="1:6" ht="16.5" customHeight="1">
      <c r="A390" s="56">
        <f t="shared" si="5"/>
        <v>372</v>
      </c>
      <c r="B390" s="57" cm="1">
        <f t="array" ref="B390:F390">runReactor(B389:F389,$B$2,$B$3,A389,A390,$B$8)</f>
        <v>173134.32365243151</v>
      </c>
      <c r="C390" s="57">
        <v>7.5222233058746681</v>
      </c>
      <c r="D390" s="57">
        <v>1.0623177844248323E-2</v>
      </c>
      <c r="E390" s="57">
        <v>249.77832310066384</v>
      </c>
      <c r="F390" s="58">
        <v>11446353.568095185</v>
      </c>
    </row>
    <row r="391" spans="1:6" ht="16.5" customHeight="1">
      <c r="A391" s="56">
        <f t="shared" si="5"/>
        <v>373</v>
      </c>
      <c r="B391" s="57" cm="1">
        <f t="array" ref="B391:F391">runReactor(B390:F390,$B$2,$B$3,A390,A391,$B$8)</f>
        <v>173600.48707438036</v>
      </c>
      <c r="C391" s="57">
        <v>7.5020237698710472</v>
      </c>
      <c r="D391" s="57">
        <v>1.062359230244923E-2</v>
      </c>
      <c r="E391" s="57">
        <v>249.7882530380017</v>
      </c>
      <c r="F391" s="58">
        <v>11446353.006156163</v>
      </c>
    </row>
    <row r="392" spans="1:6" ht="16.5" customHeight="1">
      <c r="A392" s="56">
        <f t="shared" si="5"/>
        <v>374</v>
      </c>
      <c r="B392" s="57" cm="1">
        <f t="array" ref="B392:F392">runReactor(B391:F391,$B$2,$B$3,A391,A392,$B$8)</f>
        <v>174066.65049632921</v>
      </c>
      <c r="C392" s="57">
        <v>7.4819324275694452</v>
      </c>
      <c r="D392" s="57">
        <v>1.0624004553889869E-2</v>
      </c>
      <c r="E392" s="57">
        <v>249.79812978814672</v>
      </c>
      <c r="F392" s="58">
        <v>11446352.447255414</v>
      </c>
    </row>
    <row r="393" spans="1:6" ht="16.5" customHeight="1">
      <c r="A393" s="56">
        <f t="shared" si="5"/>
        <v>375</v>
      </c>
      <c r="B393" s="57" cm="1">
        <f t="array" ref="B393:F393">runReactor(B392:F392,$B$2,$B$3,A392,A393,$B$8)</f>
        <v>174532.81391827806</v>
      </c>
      <c r="C393" s="57">
        <v>7.4619484120232222</v>
      </c>
      <c r="D393" s="57">
        <v>1.0624414616148962E-2</v>
      </c>
      <c r="E393" s="57">
        <v>249.8079537772833</v>
      </c>
      <c r="F393" s="58">
        <v>11446351.891368354</v>
      </c>
    </row>
    <row r="394" spans="1:6" ht="16.5" customHeight="1">
      <c r="A394" s="56">
        <f t="shared" si="5"/>
        <v>376</v>
      </c>
      <c r="B394" s="57" cm="1">
        <f t="array" ref="B394:F394">runReactor(B393:F393,$B$2,$B$3,A393,A394,$B$8)</f>
        <v>174998.97734022691</v>
      </c>
      <c r="C394" s="57">
        <v>7.4420708655234264</v>
      </c>
      <c r="D394" s="57">
        <v>1.0624822506618654E-2</v>
      </c>
      <c r="E394" s="57">
        <v>249.81772542705448</v>
      </c>
      <c r="F394" s="58">
        <v>11446351.338470656</v>
      </c>
    </row>
    <row r="395" spans="1:6" ht="16.5" customHeight="1">
      <c r="A395" s="56">
        <f t="shared" si="5"/>
        <v>377</v>
      </c>
      <c r="B395" s="57" cm="1">
        <f t="array" ref="B395:F395">runReactor(B394:F394,$B$2,$B$3,A394,A395,$B$8)</f>
        <v>175465.14076217575</v>
      </c>
      <c r="C395" s="57">
        <v>7.4222989394760797</v>
      </c>
      <c r="D395" s="57">
        <v>1.0625228242507639E-2</v>
      </c>
      <c r="E395" s="57">
        <v>249.82744515462244</v>
      </c>
      <c r="F395" s="58">
        <v>11446350.788538272</v>
      </c>
    </row>
    <row r="396" spans="1:6" ht="16.5" customHeight="1">
      <c r="A396" s="56">
        <f t="shared" si="5"/>
        <v>378</v>
      </c>
      <c r="B396" s="57" cm="1">
        <f t="array" ref="B396:F396">runReactor(B395:F395,$B$2,$B$3,A395,A396,$B$8)</f>
        <v>175931.3041841246</v>
      </c>
      <c r="C396" s="57">
        <v>7.4026317942814215</v>
      </c>
      <c r="D396" s="57">
        <v>1.062563184084238E-2</v>
      </c>
      <c r="E396" s="57">
        <v>249.83711337272783</v>
      </c>
      <c r="F396" s="58">
        <v>11446350.241547391</v>
      </c>
    </row>
    <row r="397" spans="1:6" ht="16.5" customHeight="1">
      <c r="A397" s="56">
        <f t="shared" si="5"/>
        <v>379</v>
      </c>
      <c r="B397" s="57" cm="1">
        <f t="array" ref="B397:F397">runReactor(B396:F396,$B$2,$B$3,A396,A397,$B$8)</f>
        <v>176397.46760607345</v>
      </c>
      <c r="C397" s="57">
        <v>7.3830685992150409</v>
      </c>
      <c r="D397" s="57">
        <v>1.06260333184713E-2</v>
      </c>
      <c r="E397" s="57">
        <v>249.84673048974872</v>
      </c>
      <c r="F397" s="58">
        <v>11446349.697474483</v>
      </c>
    </row>
    <row r="398" spans="1:6" ht="16.5" customHeight="1">
      <c r="A398" s="56">
        <f t="shared" si="5"/>
        <v>380</v>
      </c>
      <c r="B398" s="57" cm="1">
        <f t="array" ref="B398:F398">runReactor(B397:F397,$B$2,$B$3,A397,A398,$B$8)</f>
        <v>176863.6310280223</v>
      </c>
      <c r="C398" s="57">
        <v>7.3636085323109377</v>
      </c>
      <c r="D398" s="57">
        <v>1.0626432692065649E-2</v>
      </c>
      <c r="E398" s="57">
        <v>249.85629690975708</v>
      </c>
      <c r="F398" s="58">
        <v>11446349.156296255</v>
      </c>
    </row>
    <row r="399" spans="1:6" ht="16.5" customHeight="1">
      <c r="A399" s="56">
        <f t="shared" si="5"/>
        <v>381</v>
      </c>
      <c r="B399" s="57" cm="1">
        <f t="array" ref="B399:F399">runReactor(B398:F398,$B$2,$B$3,A398,A399,$B$8)</f>
        <v>177329.79444997114</v>
      </c>
      <c r="C399" s="57">
        <v>7.344250780246373</v>
      </c>
      <c r="D399" s="57">
        <v>1.0626829978122943E-2</v>
      </c>
      <c r="E399" s="57">
        <v>249.86581303257606</v>
      </c>
      <c r="F399" s="58">
        <v>11446348.617989652</v>
      </c>
    </row>
    <row r="400" spans="1:6" ht="16.5" customHeight="1">
      <c r="A400" s="56">
        <f t="shared" si="5"/>
        <v>382</v>
      </c>
      <c r="B400" s="57" cm="1">
        <f t="array" ref="B400:F400">runReactor(B399:F399,$B$2,$B$3,A399,A400,$B$8)</f>
        <v>177795.95787191999</v>
      </c>
      <c r="C400" s="57">
        <v>7.3249945382285828</v>
      </c>
      <c r="D400" s="57">
        <v>1.0627225192968024E-2</v>
      </c>
      <c r="E400" s="57">
        <v>249.87527925383554</v>
      </c>
      <c r="F400" s="58">
        <v>11446348.082531879</v>
      </c>
    </row>
    <row r="401" spans="1:6" ht="16.5" customHeight="1">
      <c r="A401" s="56">
        <f t="shared" si="5"/>
        <v>383</v>
      </c>
      <c r="B401" s="57" cm="1">
        <f t="array" ref="B401:F401">runReactor(B400:F400,$B$2,$B$3,A400,A401,$B$8)</f>
        <v>178262.12129386884</v>
      </c>
      <c r="C401" s="57">
        <v>7.3058390098832247</v>
      </c>
      <c r="D401" s="57">
        <v>1.062761835275647E-2</v>
      </c>
      <c r="E401" s="57">
        <v>249.88469596502694</v>
      </c>
      <c r="F401" s="58">
        <v>11446347.549900381</v>
      </c>
    </row>
    <row r="402" spans="1:6" ht="16.5" customHeight="1">
      <c r="A402" s="56">
        <f t="shared" si="5"/>
        <v>384</v>
      </c>
      <c r="B402" s="57" cm="1">
        <f t="array" ref="B402:F402">runReactor(B401:F401,$B$2,$B$3,A401,A402,$B$8)</f>
        <v>178728.28471581769</v>
      </c>
      <c r="C402" s="57">
        <v>7.2867834071445969</v>
      </c>
      <c r="D402" s="57">
        <v>1.0628009473476432E-2</v>
      </c>
      <c r="E402" s="57">
        <v>249.89406355355769</v>
      </c>
      <c r="F402" s="58">
        <v>11446347.020072823</v>
      </c>
    </row>
    <row r="403" spans="1:6" ht="16.5" customHeight="1">
      <c r="A403" s="56">
        <f t="shared" si="5"/>
        <v>385</v>
      </c>
      <c r="B403" s="57" cm="1">
        <f t="array" ref="B403:F403">runReactor(B402:F402,$B$2,$B$3,A402,A403,$B$8)</f>
        <v>179194.44813776654</v>
      </c>
      <c r="C403" s="57">
        <v>7.2678269501475734</v>
      </c>
      <c r="D403" s="57">
        <v>1.0628398570950572E-2</v>
      </c>
      <c r="E403" s="57">
        <v>249.90338240280306</v>
      </c>
      <c r="F403" s="58">
        <v>11446346.493027108</v>
      </c>
    </row>
    <row r="404" spans="1:6" ht="16.5" customHeight="1">
      <c r="A404" s="56">
        <f t="shared" ref="A404:A467" si="6">A403+1</f>
        <v>386</v>
      </c>
      <c r="B404" s="57" cm="1">
        <f t="array" ref="B404:F404">runReactor(B403:F403,$B$2,$B$3,A403,A404,$B$8)</f>
        <v>179660.61155971538</v>
      </c>
      <c r="C404" s="57">
        <v>7.2489688671212162</v>
      </c>
      <c r="D404" s="57">
        <v>1.0628785660836752E-2</v>
      </c>
      <c r="E404" s="57">
        <v>249.91265289215974</v>
      </c>
      <c r="F404" s="58">
        <v>11446345.968741395</v>
      </c>
    </row>
    <row r="405" spans="1:6" ht="16.5" customHeight="1">
      <c r="A405" s="56">
        <f t="shared" si="6"/>
        <v>387</v>
      </c>
      <c r="B405" s="57" cm="1">
        <f t="array" ref="B405:F405">runReactor(B404:F404,$B$2,$B$3,A404,A405,$B$8)</f>
        <v>180126.77498166423</v>
      </c>
      <c r="C405" s="57">
        <v>7.2302083942839914</v>
      </c>
      <c r="D405" s="57">
        <v>1.0629170758633648E-2</v>
      </c>
      <c r="E405" s="57">
        <v>249.92187539709687</v>
      </c>
      <c r="F405" s="58">
        <v>11446345.447194064</v>
      </c>
    </row>
    <row r="406" spans="1:6" ht="16.5" customHeight="1">
      <c r="A406" s="56">
        <f t="shared" si="6"/>
        <v>388</v>
      </c>
      <c r="B406" s="57" cm="1">
        <f t="array" ref="B406:F406">runReactor(B405:F405,$B$2,$B$3,A405,A406,$B$8)</f>
        <v>180592.93840361308</v>
      </c>
      <c r="C406" s="57">
        <v>7.211544775740709</v>
      </c>
      <c r="D406" s="57">
        <v>1.0629553879680441E-2</v>
      </c>
      <c r="E406" s="57">
        <v>249.93105028920667</v>
      </c>
      <c r="F406" s="58">
        <v>11446344.928363694</v>
      </c>
    </row>
    <row r="407" spans="1:6" ht="16.5" customHeight="1">
      <c r="A407" s="56">
        <f t="shared" si="6"/>
        <v>389</v>
      </c>
      <c r="B407" s="57" cm="1">
        <f t="array" ref="B407:F407">runReactor(B406:F406,$B$2,$B$3,A406,A407,$B$8)</f>
        <v>181059.10182556193</v>
      </c>
      <c r="C407" s="57">
        <v>7.192977263380973</v>
      </c>
      <c r="D407" s="57">
        <v>1.062993503915869E-2</v>
      </c>
      <c r="E407" s="57">
        <v>249.94017793625457</v>
      </c>
      <c r="F407" s="58">
        <v>11446344.412229106</v>
      </c>
    </row>
    <row r="408" spans="1:6" ht="16.5" customHeight="1">
      <c r="A408" s="56">
        <f t="shared" si="6"/>
        <v>390</v>
      </c>
      <c r="B408" s="57" cm="1">
        <f t="array" ref="B408:F408">runReactor(B407:F407,$B$2,$B$3,A407,A408,$B$8)</f>
        <v>181525.26524751078</v>
      </c>
      <c r="C408" s="57">
        <v>7.1745051167792226</v>
      </c>
      <c r="D408" s="57">
        <v>1.0630314252094642E-2</v>
      </c>
      <c r="E408" s="57">
        <v>249.94925870222806</v>
      </c>
      <c r="F408" s="58">
        <v>11446343.898769353</v>
      </c>
    </row>
    <row r="409" spans="1:6" ht="16.5" customHeight="1">
      <c r="A409" s="56">
        <f t="shared" si="6"/>
        <v>391</v>
      </c>
      <c r="B409" s="57" cm="1">
        <f t="array" ref="B409:F409">runReactor(B408:F408,$B$2,$B$3,A408,A409,$B$8)</f>
        <v>181991.42866945962</v>
      </c>
      <c r="C409" s="57">
        <v>7.1561276030962997</v>
      </c>
      <c r="D409" s="57">
        <v>1.0630691533361783E-2</v>
      </c>
      <c r="E409" s="57">
        <v>249.95829294738522</v>
      </c>
      <c r="F409" s="58">
        <v>11446343.387963668</v>
      </c>
    </row>
    <row r="410" spans="1:6" ht="16.5" customHeight="1">
      <c r="A410" s="56">
        <f t="shared" si="6"/>
        <v>392</v>
      </c>
      <c r="B410" s="57" cm="1">
        <f t="array" ref="B410:F410">runReactor(B409:F409,$B$2,$B$3,A409,A410,$B$8)</f>
        <v>182457.59209140847</v>
      </c>
      <c r="C410" s="57">
        <v>7.1378439969825402</v>
      </c>
      <c r="D410" s="57">
        <v>1.0631066897683311E-2</v>
      </c>
      <c r="E410" s="57">
        <v>249.96728102830232</v>
      </c>
      <c r="F410" s="58">
        <v>11446342.879791532</v>
      </c>
    </row>
    <row r="411" spans="1:6" ht="16.5" customHeight="1">
      <c r="A411" s="56">
        <f t="shared" si="6"/>
        <v>393</v>
      </c>
      <c r="B411" s="57" cm="1">
        <f t="array" ref="B411:F411">runReactor(B410:F410,$B$2,$B$3,A410,A411,$B$8)</f>
        <v>182923.75551335732</v>
      </c>
      <c r="C411" s="57">
        <v>7.1196535804823702</v>
      </c>
      <c r="D411" s="57">
        <v>1.0631440359632037E-2</v>
      </c>
      <c r="E411" s="57">
        <v>249.97622329792065</v>
      </c>
      <c r="F411" s="58">
        <v>11446342.374232639</v>
      </c>
    </row>
    <row r="412" spans="1:6" ht="16.5" customHeight="1">
      <c r="A412" s="56">
        <f t="shared" si="6"/>
        <v>394</v>
      </c>
      <c r="B412" s="57" cm="1">
        <f t="array" ref="B412:F412">runReactor(B411:F411,$B$2,$B$3,A411,A412,$B$8)</f>
        <v>183389.91893530617</v>
      </c>
      <c r="C412" s="57">
        <v>7.1015556429402764</v>
      </c>
      <c r="D412" s="57">
        <v>1.0631811933633594E-2</v>
      </c>
      <c r="E412" s="57">
        <v>249.98512010559338</v>
      </c>
      <c r="F412" s="58">
        <v>11446341.871266862</v>
      </c>
    </row>
    <row r="413" spans="1:6" ht="16.5" customHeight="1">
      <c r="A413" s="56">
        <f t="shared" si="6"/>
        <v>395</v>
      </c>
      <c r="B413" s="57" cm="1">
        <f t="array" ref="B413:F413">runReactor(B412:F412,$B$2,$B$3,A412,A413,$B$8)</f>
        <v>183856.08235725501</v>
      </c>
      <c r="C413" s="57">
        <v>7.0835494809082906</v>
      </c>
      <c r="D413" s="57">
        <v>1.0632181633968526E-2</v>
      </c>
      <c r="E413" s="57">
        <v>249.99397179712977</v>
      </c>
      <c r="F413" s="58">
        <v>11446341.370874295</v>
      </c>
    </row>
    <row r="414" spans="1:6" ht="16.5" customHeight="1">
      <c r="A414" s="56">
        <f t="shared" si="6"/>
        <v>396</v>
      </c>
      <c r="B414" s="57" cm="1">
        <f t="array" ref="B414:F414">runReactor(B413:F413,$B$2,$B$3,A413,A414,$B$8)</f>
        <v>184322.24577920386</v>
      </c>
      <c r="C414" s="57">
        <v>7.0656343980548533</v>
      </c>
      <c r="D414" s="57">
        <v>1.063254947477313E-2</v>
      </c>
      <c r="E414" s="57">
        <v>250.00277871484113</v>
      </c>
      <c r="F414" s="58">
        <v>11446340.873035252</v>
      </c>
    </row>
    <row r="415" spans="1:6" ht="16.5" customHeight="1">
      <c r="A415" s="56">
        <f t="shared" si="6"/>
        <v>397</v>
      </c>
      <c r="B415" s="57" cm="1">
        <f t="array" ref="B415:F415">runReactor(B414:F414,$B$2,$B$3,A414,A415,$B$8)</f>
        <v>184788.40920115271</v>
      </c>
      <c r="C415" s="57">
        <v>7.0478097050750046</v>
      </c>
      <c r="D415" s="57">
        <v>1.06329154700428E-2</v>
      </c>
      <c r="E415" s="57">
        <v>250.01154119758439</v>
      </c>
      <c r="F415" s="58">
        <v>11446340.377730228</v>
      </c>
    </row>
    <row r="416" spans="1:6" ht="16.5" customHeight="1">
      <c r="A416" s="56">
        <f t="shared" si="6"/>
        <v>398</v>
      </c>
      <c r="B416" s="57" cm="1">
        <f t="array" ref="B416:F416">runReactor(B415:F415,$B$2,$B$3,A415,A416,$B$8)</f>
        <v>185254.57262310156</v>
      </c>
      <c r="C416" s="57">
        <v>7.030074719602041</v>
      </c>
      <c r="D416" s="57">
        <v>1.0633279633632415E-2</v>
      </c>
      <c r="E416" s="57">
        <v>250.02025958080606</v>
      </c>
      <c r="F416" s="58">
        <v>11446339.884939907</v>
      </c>
    </row>
    <row r="417" spans="1:6" ht="16.5" customHeight="1">
      <c r="A417" s="56">
        <f t="shared" si="6"/>
        <v>399</v>
      </c>
      <c r="B417" s="57" cm="1">
        <f t="array" ref="B417:F417">runReactor(B416:F416,$B$2,$B$3,A416,A417,$B$8)</f>
        <v>185720.73604505041</v>
      </c>
      <c r="C417" s="57">
        <v>7.0124287661203946</v>
      </c>
      <c r="D417" s="57">
        <v>1.0633641979257888E-2</v>
      </c>
      <c r="E417" s="57">
        <v>250.028934196584</v>
      </c>
      <c r="F417" s="58">
        <v>11446339.394645188</v>
      </c>
    </row>
    <row r="418" spans="1:6" ht="16.5" customHeight="1">
      <c r="A418" s="56">
        <f t="shared" si="6"/>
        <v>400</v>
      </c>
      <c r="B418" s="57" cm="1">
        <f t="array" ref="B418:F418">runReactor(B417:F417,$B$2,$B$3,A417,A418,$B$8)</f>
        <v>186186.89946699925</v>
      </c>
      <c r="C418" s="57">
        <v>6.994871175879867</v>
      </c>
      <c r="D418" s="57">
        <v>1.063400252049884E-2</v>
      </c>
      <c r="E418" s="57">
        <v>250.03756537367082</v>
      </c>
      <c r="F418" s="58">
        <v>11446338.906827154</v>
      </c>
    </row>
    <row r="419" spans="1:6" ht="16.5" customHeight="1">
      <c r="A419" s="56">
        <f t="shared" si="6"/>
        <v>401</v>
      </c>
      <c r="B419" s="57" cm="1">
        <f t="array" ref="B419:F419">runReactor(B418:F418,$B$2,$B$3,A418,A419,$B$8)</f>
        <v>186653.0628889481</v>
      </c>
      <c r="C419" s="57">
        <v>6.977401286811161</v>
      </c>
      <c r="D419" s="57">
        <v>1.0634361270800375E-2</v>
      </c>
      <c r="E419" s="57">
        <v>250.04615343753477</v>
      </c>
      <c r="F419" s="58">
        <v>11446338.421467084</v>
      </c>
    </row>
    <row r="420" spans="1:6" ht="16.5" customHeight="1">
      <c r="A420" s="56">
        <f t="shared" si="6"/>
        <v>402</v>
      </c>
      <c r="B420" s="57" cm="1">
        <f t="array" ref="B420:F420">runReactor(B419:F419,$B$2,$B$3,A419,A420,$B$8)</f>
        <v>187119.22631089695</v>
      </c>
      <c r="C420" s="57">
        <v>6.9600184434426424</v>
      </c>
      <c r="D420" s="57">
        <v>1.0634718243474492E-2</v>
      </c>
      <c r="E420" s="57">
        <v>250.05469871040052</v>
      </c>
      <c r="F420" s="58">
        <v>11446337.938546447</v>
      </c>
    </row>
    <row r="421" spans="1:6" ht="16.5" customHeight="1">
      <c r="A421" s="56">
        <f t="shared" si="6"/>
        <v>403</v>
      </c>
      <c r="B421" s="57" cm="1">
        <f t="array" ref="B421:F421">runReactor(B420:F420,$B$2,$B$3,A420,A421,$B$8)</f>
        <v>187585.3897328458</v>
      </c>
      <c r="C421" s="57">
        <v>6.9427219968183786</v>
      </c>
      <c r="D421" s="57">
        <v>1.0635073451700948E-2</v>
      </c>
      <c r="E421" s="57">
        <v>250.06320151128995</v>
      </c>
      <c r="F421" s="58">
        <v>11446337.458046895</v>
      </c>
    </row>
    <row r="422" spans="1:6" ht="16.5" customHeight="1">
      <c r="A422" s="56">
        <f t="shared" si="6"/>
        <v>404</v>
      </c>
      <c r="B422" s="57" cm="1">
        <f t="array" ref="B422:F422">runReactor(B421:F421,$B$2,$B$3,A421,A422,$B$8)</f>
        <v>188051.55315479464</v>
      </c>
      <c r="C422" s="57">
        <v>6.925511304417368</v>
      </c>
      <c r="D422" s="57">
        <v>1.0635426908529911E-2</v>
      </c>
      <c r="E422" s="57">
        <v>250.07166215606119</v>
      </c>
      <c r="F422" s="58">
        <v>11446336.979950264</v>
      </c>
    </row>
    <row r="423" spans="1:6" ht="16.5" customHeight="1">
      <c r="A423" s="56">
        <f t="shared" si="6"/>
        <v>405</v>
      </c>
      <c r="B423" s="57" cm="1">
        <f t="array" ref="B423:F423">runReactor(B422:F422,$B$2,$B$3,A422,A423,$B$8)</f>
        <v>188517.71657674349</v>
      </c>
      <c r="C423" s="57">
        <v>6.9083857300739799</v>
      </c>
      <c r="D423" s="57">
        <v>1.0635778626883044E-2</v>
      </c>
      <c r="E423" s="57">
        <v>250.08008095744862</v>
      </c>
      <c r="F423" s="58">
        <v>11446336.504238566</v>
      </c>
    </row>
    <row r="424" spans="1:6" ht="16.5" customHeight="1">
      <c r="A424" s="56">
        <f t="shared" si="6"/>
        <v>406</v>
      </c>
      <c r="B424" s="57" cm="1">
        <f t="array" ref="B424:F424">runReactor(B423:F423,$B$2,$B$3,A423,A424,$B$8)</f>
        <v>188983.87999869234</v>
      </c>
      <c r="C424" s="57">
        <v>6.891344643899564</v>
      </c>
      <c r="D424" s="57">
        <v>1.0636128619554821E-2</v>
      </c>
      <c r="E424" s="57">
        <v>250.0884582251006</v>
      </c>
      <c r="F424" s="58">
        <v>11446336.030893991</v>
      </c>
    </row>
    <row r="425" spans="1:6" ht="16.5" customHeight="1">
      <c r="A425" s="56">
        <f t="shared" si="6"/>
        <v>407</v>
      </c>
      <c r="B425" s="57" cm="1">
        <f t="array" ref="B425:F425">runReactor(B424:F424,$B$2,$B$3,A424,A425,$B$8)</f>
        <v>189450.04342064119</v>
      </c>
      <c r="C425" s="57">
        <v>6.8743874222052268</v>
      </c>
      <c r="D425" s="57">
        <v>1.0636476899215236E-2</v>
      </c>
      <c r="E425" s="57">
        <v>250.09679426561766</v>
      </c>
      <c r="F425" s="58">
        <v>11446335.559898913</v>
      </c>
    </row>
    <row r="426" spans="1:6" ht="16.5" customHeight="1">
      <c r="A426" s="56">
        <f t="shared" si="6"/>
        <v>408</v>
      </c>
      <c r="B426" s="57" cm="1">
        <f t="array" ref="B426:F426">runReactor(B425:F425,$B$2,$B$3,A425,A426,$B$8)</f>
        <v>189916.20684259004</v>
      </c>
      <c r="C426" s="57">
        <v>6.8575134474257533</v>
      </c>
      <c r="D426" s="57">
        <v>1.0636823478409991E-2</v>
      </c>
      <c r="E426" s="57">
        <v>250.10508938259014</v>
      </c>
      <c r="F426" s="58">
        <v>11446335.091235893</v>
      </c>
    </row>
    <row r="427" spans="1:6" ht="16.5" customHeight="1">
      <c r="A427" s="56">
        <f t="shared" si="6"/>
        <v>409</v>
      </c>
      <c r="B427" s="57" cm="1">
        <f t="array" ref="B427:F427">runReactor(B426:F426,$B$2,$B$3,A426,A427,$B$8)</f>
        <v>190382.37026453888</v>
      </c>
      <c r="C427" s="57">
        <v>6.8407221080446101</v>
      </c>
      <c r="D427" s="57">
        <v>1.0637168369562498E-2</v>
      </c>
      <c r="E427" s="57">
        <v>250.1133438766351</v>
      </c>
      <c r="F427" s="58">
        <v>11446334.624887621</v>
      </c>
    </row>
    <row r="428" spans="1:6" ht="16.5" customHeight="1">
      <c r="A428" s="56">
        <f t="shared" si="6"/>
        <v>410</v>
      </c>
      <c r="B428" s="57" cm="1">
        <f t="array" ref="B428:F428">runReactor(B427:F427,$B$2,$B$3,A427,A428,$B$8)</f>
        <v>190848.53368648773</v>
      </c>
      <c r="C428" s="57">
        <v>6.8240127985200809</v>
      </c>
      <c r="D428" s="57">
        <v>1.0637511584976484E-2</v>
      </c>
      <c r="E428" s="57">
        <v>250.12155804543178</v>
      </c>
      <c r="F428" s="58">
        <v>11446334.160837019</v>
      </c>
    </row>
    <row r="429" spans="1:6" ht="16.5" customHeight="1">
      <c r="A429" s="56">
        <f t="shared" si="6"/>
        <v>411</v>
      </c>
      <c r="B429" s="57" cm="1">
        <f t="array" ref="B429:F429">runReactor(B428:F428,$B$2,$B$3,A428,A429,$B$8)</f>
        <v>191314.69710843658</v>
      </c>
      <c r="C429" s="57">
        <v>6.8073849192125024</v>
      </c>
      <c r="D429" s="57">
        <v>1.0637853136834775E-2</v>
      </c>
      <c r="E429" s="57">
        <v>250.12973218375859</v>
      </c>
      <c r="F429" s="58">
        <v>11446333.699067127</v>
      </c>
    </row>
    <row r="430" spans="1:6" ht="16.5" customHeight="1">
      <c r="A430" s="56">
        <f t="shared" si="6"/>
        <v>412</v>
      </c>
      <c r="B430" s="57" cm="1">
        <f t="array" ref="B430:F430">runReactor(B429:F429,$B$2,$B$3,A429,A430,$B$8)</f>
        <v>191780.86053038543</v>
      </c>
      <c r="C430" s="57">
        <v>6.7908378763124855</v>
      </c>
      <c r="D430" s="57">
        <v>1.0638193037203527E-2</v>
      </c>
      <c r="E430" s="57">
        <v>250.13786658352802</v>
      </c>
      <c r="F430" s="58">
        <v>11446333.239561176</v>
      </c>
    </row>
    <row r="431" spans="1:6" ht="16.5" customHeight="1">
      <c r="A431" s="56">
        <f t="shared" si="6"/>
        <v>413</v>
      </c>
      <c r="B431" s="57" cm="1">
        <f t="array" ref="B431:F431">runReactor(B430:F430,$B$2,$B$3,A430,A431,$B$8)</f>
        <v>192247.02395233428</v>
      </c>
      <c r="C431" s="57">
        <v>6.7743710817702514</v>
      </c>
      <c r="D431" s="57">
        <v>1.0638531298032234E-2</v>
      </c>
      <c r="E431" s="57">
        <v>250.14596153382024</v>
      </c>
      <c r="F431" s="58">
        <v>11446332.782302538</v>
      </c>
    </row>
    <row r="432" spans="1:6" ht="16.5" customHeight="1">
      <c r="A432" s="56">
        <f t="shared" si="6"/>
        <v>414</v>
      </c>
      <c r="B432" s="57" cm="1">
        <f t="array" ref="B432:F432">runReactor(B431:F431,$B$2,$B$3,A431,A432,$B$8)</f>
        <v>192713.18737428312</v>
      </c>
      <c r="C432" s="57">
        <v>6.7579839532259731</v>
      </c>
      <c r="D432" s="57">
        <v>1.0638867931155597E-2</v>
      </c>
      <c r="E432" s="57">
        <v>250.15401732091908</v>
      </c>
      <c r="F432" s="58">
        <v>11446332.327274779</v>
      </c>
    </row>
    <row r="433" spans="1:6" ht="16.5" customHeight="1">
      <c r="A433" s="56">
        <f t="shared" si="6"/>
        <v>415</v>
      </c>
      <c r="B433" s="57" cm="1">
        <f t="array" ref="B433:F433">runReactor(B432:F432,$B$2,$B$3,A432,A433,$B$8)</f>
        <v>193179.35079623197</v>
      </c>
      <c r="C433" s="57">
        <v>6.7416759139411235</v>
      </c>
      <c r="D433" s="57">
        <v>1.0639202948293885E-2</v>
      </c>
      <c r="E433" s="57">
        <v>250.16203422834488</v>
      </c>
      <c r="F433" s="58">
        <v>11446331.874461612</v>
      </c>
    </row>
    <row r="434" spans="1:6" ht="16.5" customHeight="1">
      <c r="A434" s="56">
        <f t="shared" si="6"/>
        <v>416</v>
      </c>
      <c r="B434" s="57" cm="1">
        <f t="array" ref="B434:F434">runReactor(B433:F433,$B$2,$B$3,A433,A434,$B$8)</f>
        <v>193645.51421818082</v>
      </c>
      <c r="C434" s="57">
        <v>6.7254463927307917</v>
      </c>
      <c r="D434" s="57">
        <v>1.0639536361055591E-2</v>
      </c>
      <c r="E434" s="57">
        <v>250.1700125368875</v>
      </c>
      <c r="F434" s="58">
        <v>11446331.423846889</v>
      </c>
    </row>
    <row r="435" spans="1:6" ht="16.5" customHeight="1">
      <c r="A435" s="56">
        <f t="shared" si="6"/>
        <v>417</v>
      </c>
      <c r="B435" s="57" cm="1">
        <f t="array" ref="B435:F435">runReactor(B434:F434,$B$2,$B$3,A434,A435,$B$8)</f>
        <v>194111.67764012967</v>
      </c>
      <c r="C435" s="57">
        <v>6.7092948238970083</v>
      </c>
      <c r="D435" s="57">
        <v>1.0639868180938842E-2</v>
      </c>
      <c r="E435" s="57">
        <v>250.17795252463992</v>
      </c>
      <c r="F435" s="58">
        <v>11446330.975414647</v>
      </c>
    </row>
    <row r="436" spans="1:6" ht="16.5" customHeight="1">
      <c r="A436" s="56">
        <f t="shared" si="6"/>
        <v>418</v>
      </c>
      <c r="B436" s="57" cm="1">
        <f t="array" ref="B436:F436">runReactor(B435:F435,$B$2,$B$3,A435,A436,$B$8)</f>
        <v>194577.84106207851</v>
      </c>
      <c r="C436" s="57">
        <v>6.6932206471630371</v>
      </c>
      <c r="D436" s="57">
        <v>1.0640198419331346E-2</v>
      </c>
      <c r="E436" s="57">
        <v>250.1858544670298</v>
      </c>
      <c r="F436" s="58">
        <v>11446330.529149061</v>
      </c>
    </row>
    <row r="437" spans="1:6" ht="16.5" customHeight="1">
      <c r="A437" s="56">
        <f t="shared" si="6"/>
        <v>419</v>
      </c>
      <c r="B437" s="57" cm="1">
        <f t="array" ref="B437:F437">runReactor(B436:F436,$B$2,$B$3,A436,A437,$B$8)</f>
        <v>195044.00448402736</v>
      </c>
      <c r="C437" s="57">
        <v>6.6772233076085534</v>
      </c>
      <c r="D437" s="57">
        <v>1.0640527087513127E-2</v>
      </c>
      <c r="E437" s="57">
        <v>250.19371863685177</v>
      </c>
      <c r="F437" s="58">
        <v>11446330.085034462</v>
      </c>
    </row>
    <row r="438" spans="1:6" ht="16.5" customHeight="1">
      <c r="A438" s="56">
        <f t="shared" si="6"/>
        <v>420</v>
      </c>
      <c r="B438" s="57" cm="1">
        <f t="array" ref="B438:F438">runReactor(B437:F437,$B$2,$B$3,A437,A438,$B$8)</f>
        <v>195510.16790597621</v>
      </c>
      <c r="C438" s="57">
        <v>6.6613022556058228</v>
      </c>
      <c r="D438" s="57">
        <v>1.0640854196656306E-2</v>
      </c>
      <c r="E438" s="57">
        <v>250.20154530429841</v>
      </c>
      <c r="F438" s="58">
        <v>11446329.64305534</v>
      </c>
    </row>
    <row r="439" spans="1:6" ht="16.5" customHeight="1">
      <c r="A439" s="56">
        <f t="shared" si="6"/>
        <v>421</v>
      </c>
      <c r="B439" s="57" cm="1">
        <f t="array" ref="B439:F439">runReactor(B438:F438,$B$2,$B$3,A438,A439,$B$8)</f>
        <v>195976.33132792506</v>
      </c>
      <c r="C439" s="57">
        <v>6.6454569467567088</v>
      </c>
      <c r="D439" s="57">
        <v>1.0641179757828035E-2</v>
      </c>
      <c r="E439" s="57">
        <v>250.20933473699171</v>
      </c>
      <c r="F439" s="58">
        <v>11446329.203196313</v>
      </c>
    </row>
    <row r="440" spans="1:6" ht="16.5" customHeight="1">
      <c r="A440" s="56">
        <f t="shared" si="6"/>
        <v>422</v>
      </c>
      <c r="B440" s="57" cm="1">
        <f t="array" ref="B440:F440">runReactor(B439:F439,$B$2,$B$3,A439,A440,$B$8)</f>
        <v>196442.49474987391</v>
      </c>
      <c r="C440" s="57">
        <v>6.6296868418306634</v>
      </c>
      <c r="D440" s="57">
        <v>1.0641503781991107E-2</v>
      </c>
      <c r="E440" s="57">
        <v>250.21708720001325</v>
      </c>
      <c r="F440" s="58">
        <v>11446328.765442178</v>
      </c>
    </row>
    <row r="441" spans="1:6" ht="16.5" customHeight="1">
      <c r="A441" s="56">
        <f t="shared" si="6"/>
        <v>423</v>
      </c>
      <c r="B441" s="57" cm="1">
        <f t="array" ref="B441:F441">runReactor(B440:F440,$B$2,$B$3,A440,A441,$B$8)</f>
        <v>196908.65817182275</v>
      </c>
      <c r="C441" s="57">
        <v>6.6139914067035379</v>
      </c>
      <c r="D441" s="57">
        <v>1.0641826280004459E-2</v>
      </c>
      <c r="E441" s="57">
        <v>250.22480295593436</v>
      </c>
      <c r="F441" s="58">
        <v>11446328.329777846</v>
      </c>
    </row>
    <row r="442" spans="1:6" ht="16.5" customHeight="1">
      <c r="A442" s="56">
        <f t="shared" si="6"/>
        <v>424</v>
      </c>
      <c r="B442" s="57" cm="1">
        <f t="array" ref="B442:F442">runReactor(B441:F441,$B$2,$B$3,A441,A442,$B$8)</f>
        <v>197374.8215937716</v>
      </c>
      <c r="C442" s="57">
        <v>6.5983701122972898</v>
      </c>
      <c r="D442" s="57">
        <v>1.0642147262624854E-2</v>
      </c>
      <c r="E442" s="57">
        <v>250.23248226484583</v>
      </c>
      <c r="F442" s="58">
        <v>11446327.89618838</v>
      </c>
    </row>
    <row r="443" spans="1:6" ht="16.5" customHeight="1">
      <c r="A443" s="56">
        <f t="shared" si="6"/>
        <v>425</v>
      </c>
      <c r="B443" s="57" cm="1">
        <f t="array" ref="B443:F443">runReactor(B442:F442,$B$2,$B$3,A442,A443,$B$8)</f>
        <v>197840.98501572045</v>
      </c>
      <c r="C443" s="57">
        <v>6.5828224345205113</v>
      </c>
      <c r="D443" s="57">
        <v>1.0642466740508815E-2</v>
      </c>
      <c r="E443" s="57">
        <v>250.24012538438691</v>
      </c>
      <c r="F443" s="58">
        <v>11446327.464659</v>
      </c>
    </row>
    <row r="444" spans="1:6" ht="16.5" customHeight="1">
      <c r="A444" s="56">
        <f t="shared" si="6"/>
        <v>426</v>
      </c>
      <c r="B444" s="57" cm="1">
        <f t="array" ref="B444:F444">runReactor(B443:F443,$B$2,$B$3,A443,A444,$B$8)</f>
        <v>198307.1484376693</v>
      </c>
      <c r="C444" s="57">
        <v>6.5673478542098316</v>
      </c>
      <c r="D444" s="57">
        <v>1.0642784724213051E-2</v>
      </c>
      <c r="E444" s="57">
        <v>250.24773256977426</v>
      </c>
      <c r="F444" s="58">
        <v>11446327.035175055</v>
      </c>
    </row>
    <row r="445" spans="1:6" ht="16.5" customHeight="1">
      <c r="A445" s="56">
        <f t="shared" si="6"/>
        <v>427</v>
      </c>
      <c r="B445" s="57" cm="1">
        <f t="array" ref="B445:F445">runReactor(B444:F444,$B$2,$B$3,A444,A445,$B$8)</f>
        <v>198773.31185961814</v>
      </c>
      <c r="C445" s="57">
        <v>6.5519458570721421</v>
      </c>
      <c r="D445" s="57">
        <v>1.0643101224195501E-2</v>
      </c>
      <c r="E445" s="57">
        <v>250.2553040738305</v>
      </c>
      <c r="F445" s="58">
        <v>11446326.607722029</v>
      </c>
    </row>
    <row r="446" spans="1:6" ht="16.5" customHeight="1">
      <c r="A446" s="56">
        <f t="shared" si="6"/>
        <v>428</v>
      </c>
      <c r="B446" s="57" cm="1">
        <f t="array" ref="B446:F446">runReactor(B445:F445,$B$2,$B$3,A445,A446,$B$8)</f>
        <v>199239.47528156699</v>
      </c>
      <c r="C446" s="57">
        <v>6.5366159336276004</v>
      </c>
      <c r="D446" s="57">
        <v>1.0643416250817009E-2</v>
      </c>
      <c r="E446" s="57">
        <v>250.26284014701227</v>
      </c>
      <c r="F446" s="58">
        <v>11446326.182285553</v>
      </c>
    </row>
    <row r="447" spans="1:6" ht="16.5" customHeight="1">
      <c r="A447" s="56">
        <f t="shared" si="6"/>
        <v>429</v>
      </c>
      <c r="B447" s="57" cm="1">
        <f t="array" ref="B447:F447">runReactor(B446:F446,$B$2,$B$3,A446,A447,$B$8)</f>
        <v>199705.63870351584</v>
      </c>
      <c r="C447" s="57">
        <v>6.5213575791534586</v>
      </c>
      <c r="D447" s="57">
        <v>1.0643729814341793E-2</v>
      </c>
      <c r="E447" s="57">
        <v>250.27034103743691</v>
      </c>
      <c r="F447" s="58">
        <v>11446325.758851385</v>
      </c>
    </row>
    <row r="448" spans="1:6" ht="16.5" customHeight="1">
      <c r="A448" s="56">
        <f t="shared" si="6"/>
        <v>430</v>
      </c>
      <c r="B448" s="57" cm="1">
        <f t="array" ref="B448:F448">runReactor(B447:F447,$B$2,$B$3,A447,A448,$B$8)</f>
        <v>200171.80212546469</v>
      </c>
      <c r="C448" s="57">
        <v>6.5061702936286716</v>
      </c>
      <c r="D448" s="57">
        <v>1.0644041924939495E-2</v>
      </c>
      <c r="E448" s="57">
        <v>250.27780699091116</v>
      </c>
      <c r="F448" s="58">
        <v>11446325.337405408</v>
      </c>
    </row>
    <row r="449" spans="1:6" ht="16.5" customHeight="1">
      <c r="A449" s="56">
        <f t="shared" si="6"/>
        <v>431</v>
      </c>
      <c r="B449" s="57" cm="1">
        <f t="array" ref="B449:F449">runReactor(B448:F448,$B$2,$B$3,A448,A449,$B$8)</f>
        <v>200637.96554741354</v>
      </c>
      <c r="C449" s="57">
        <v>6.4910535816792878</v>
      </c>
      <c r="D449" s="57">
        <v>1.064435259268527E-2</v>
      </c>
      <c r="E449" s="57">
        <v>250.28523825095684</v>
      </c>
      <c r="F449" s="58">
        <v>11446324.917933665</v>
      </c>
    </row>
    <row r="450" spans="1:6" ht="16.5" customHeight="1">
      <c r="A450" s="56">
        <f t="shared" si="6"/>
        <v>432</v>
      </c>
      <c r="B450" s="57" cm="1">
        <f t="array" ref="B450:F450">runReactor(B449:F449,$B$2,$B$3,A449,A450,$B$8)</f>
        <v>201104.12896936238</v>
      </c>
      <c r="C450" s="57">
        <v>6.4760069525245658</v>
      </c>
      <c r="D450" s="57">
        <v>1.0644661827561104E-2</v>
      </c>
      <c r="E450" s="57">
        <v>250.29263505883816</v>
      </c>
      <c r="F450" s="58">
        <v>11446324.500422316</v>
      </c>
    </row>
    <row r="451" spans="1:6" ht="16.5" customHeight="1">
      <c r="A451" s="56">
        <f t="shared" si="6"/>
        <v>433</v>
      </c>
      <c r="B451" s="57" cm="1">
        <f t="array" ref="B451:F451">runReactor(B450:F450,$B$2,$B$3,A450,A451,$B$8)</f>
        <v>201570.29239131123</v>
      </c>
      <c r="C451" s="57">
        <v>6.4610299199238712</v>
      </c>
      <c r="D451" s="57">
        <v>1.0644969639457481E-2</v>
      </c>
      <c r="E451" s="57">
        <v>250.29999765358733</v>
      </c>
      <c r="F451" s="58">
        <v>11446324.084857637</v>
      </c>
    </row>
    <row r="452" spans="1:6" ht="16.5" customHeight="1">
      <c r="A452" s="56">
        <f t="shared" si="6"/>
        <v>434</v>
      </c>
      <c r="B452" s="57" cm="1">
        <f t="array" ref="B452:F452">runReactor(B451:F451,$B$2,$B$3,A451,A452,$B$8)</f>
        <v>202036.45581326008</v>
      </c>
      <c r="C452" s="57">
        <v>6.4461220021243024</v>
      </c>
      <c r="D452" s="57">
        <v>1.0645276038174183E-2</v>
      </c>
      <c r="E452" s="57">
        <v>250.30732627203017</v>
      </c>
      <c r="F452" s="58">
        <v>11446323.671226049</v>
      </c>
    </row>
    <row r="453" spans="1:6" ht="16.5" customHeight="1">
      <c r="A453" s="56">
        <f t="shared" si="6"/>
        <v>435</v>
      </c>
      <c r="B453" s="57" cm="1">
        <f t="array" ref="B453:F453">runReactor(B452:F452,$B$2,$B$3,A452,A453,$B$8)</f>
        <v>202502.61923520893</v>
      </c>
      <c r="C453" s="57">
        <v>6.431282721809028</v>
      </c>
      <c r="D453" s="57">
        <v>1.0645581033421435E-2</v>
      </c>
      <c r="E453" s="57">
        <v>250.31462114881214</v>
      </c>
      <c r="F453" s="58">
        <v>11446323.259514086</v>
      </c>
    </row>
    <row r="454" spans="1:6" ht="16.5" customHeight="1">
      <c r="A454" s="56">
        <f t="shared" si="6"/>
        <v>436</v>
      </c>
      <c r="B454" s="57" cm="1">
        <f t="array" ref="B454:F454">runReactor(B453:F453,$B$2,$B$3,A453,A454,$B$8)</f>
        <v>202968.78265715778</v>
      </c>
      <c r="C454" s="57">
        <v>6.4165116060463623</v>
      </c>
      <c r="D454" s="57">
        <v>1.0645884634819653E-2</v>
      </c>
      <c r="E454" s="57">
        <v>250.32188251642276</v>
      </c>
      <c r="F454" s="58">
        <v>11446322.849708427</v>
      </c>
    </row>
    <row r="455" spans="1:6" ht="16.5" customHeight="1">
      <c r="A455" s="56">
        <f t="shared" si="6"/>
        <v>437</v>
      </c>
      <c r="B455" s="57" cm="1">
        <f t="array" ref="B455:F455">runReactor(B454:F454,$B$2,$B$3,A454,A455,$B$8)</f>
        <v>203434.94607910662</v>
      </c>
      <c r="C455" s="57">
        <v>6.4018081862394842</v>
      </c>
      <c r="D455" s="57">
        <v>1.0646186851902543E-2</v>
      </c>
      <c r="E455" s="57">
        <v>250.32911060522062</v>
      </c>
      <c r="F455" s="58">
        <v>11446322.441795856</v>
      </c>
    </row>
    <row r="456" spans="1:6" ht="16.5" customHeight="1">
      <c r="A456" s="56">
        <f t="shared" si="6"/>
        <v>438</v>
      </c>
      <c r="B456" s="57" cm="1">
        <f t="array" ref="B456:F456">runReactor(B455:F455,$B$2,$B$3,A455,A456,$B$8)</f>
        <v>203901.10950105547</v>
      </c>
      <c r="C456" s="57">
        <v>6.3871719980769246</v>
      </c>
      <c r="D456" s="57">
        <v>1.0646487694116989E-2</v>
      </c>
      <c r="E456" s="57">
        <v>250.33630564345765</v>
      </c>
      <c r="F456" s="58">
        <v>11446322.035763264</v>
      </c>
    </row>
    <row r="457" spans="1:6" ht="16.5" customHeight="1">
      <c r="A457" s="56">
        <f t="shared" si="6"/>
        <v>439</v>
      </c>
      <c r="B457" s="57" cm="1">
        <f t="array" ref="B457:F457">runReactor(B456:F456,$B$2,$B$3,A456,A457,$B$8)</f>
        <v>204367.27292300432</v>
      </c>
      <c r="C457" s="57">
        <v>6.3726025814836706</v>
      </c>
      <c r="D457" s="57">
        <v>1.0646787170824014E-2</v>
      </c>
      <c r="E457" s="57">
        <v>250.34346785730318</v>
      </c>
      <c r="F457" s="58">
        <v>11446321.631597703</v>
      </c>
    </row>
    <row r="458" spans="1:6" ht="16.5" customHeight="1">
      <c r="A458" s="56">
        <f t="shared" si="6"/>
        <v>440</v>
      </c>
      <c r="B458" s="57" cm="1">
        <f t="array" ref="B458:F458">runReactor(B457:F457,$B$2,$B$3,A457,A458,$B$8)</f>
        <v>204833.43634495317</v>
      </c>
      <c r="C458" s="57">
        <v>6.3580994805729638</v>
      </c>
      <c r="D458" s="57">
        <v>1.0647085291299152E-2</v>
      </c>
      <c r="E458" s="57">
        <v>250.35059747086757</v>
      </c>
      <c r="F458" s="58">
        <v>11446321.229286317</v>
      </c>
    </row>
    <row r="459" spans="1:6" ht="16.5" customHeight="1">
      <c r="A459" s="56">
        <f t="shared" si="6"/>
        <v>441</v>
      </c>
      <c r="B459" s="57" cm="1">
        <f t="array" ref="B459:F459">runReactor(B458:F458,$B$2,$B$3,A458,A459,$B$8)</f>
        <v>205299.59976690201</v>
      </c>
      <c r="C459" s="57">
        <v>6.3436622435987466</v>
      </c>
      <c r="D459" s="57">
        <v>1.0647382064735067E-2</v>
      </c>
      <c r="E459" s="57">
        <v>250.35769470622577</v>
      </c>
      <c r="F459" s="58">
        <v>11446320.828816365</v>
      </c>
    </row>
    <row r="460" spans="1:6" ht="16.5" customHeight="1">
      <c r="A460" s="56">
        <f t="shared" si="6"/>
        <v>442</v>
      </c>
      <c r="B460" s="57" cm="1">
        <f t="array" ref="B460:F460">runReactor(B459:F459,$B$2,$B$3,A459,A460,$B$8)</f>
        <v>205765.76318885086</v>
      </c>
      <c r="C460" s="57">
        <v>6.3292904229087572</v>
      </c>
      <c r="D460" s="57">
        <v>1.0647677500240683E-2</v>
      </c>
      <c r="E460" s="57">
        <v>250.36475978344018</v>
      </c>
      <c r="F460" s="58">
        <v>11446320.430175239</v>
      </c>
    </row>
    <row r="461" spans="1:6" ht="16.5" customHeight="1">
      <c r="A461" s="56">
        <f t="shared" si="6"/>
        <v>443</v>
      </c>
      <c r="B461" s="57" cm="1">
        <f t="array" ref="B461:F461">runReactor(B460:F460,$B$2,$B$3,A460,A461,$B$8)</f>
        <v>206231.92661079971</v>
      </c>
      <c r="C461" s="57">
        <v>6.3149835748982532</v>
      </c>
      <c r="D461" s="57">
        <v>1.0647971606843831E-2</v>
      </c>
      <c r="E461" s="57">
        <v>250.37179292058357</v>
      </c>
      <c r="F461" s="58">
        <v>11446320.033350436</v>
      </c>
    </row>
    <row r="462" spans="1:6" ht="16.5" customHeight="1">
      <c r="A462" s="56">
        <f t="shared" si="6"/>
        <v>444</v>
      </c>
      <c r="B462" s="57" cm="1">
        <f t="array" ref="B462:F462">runReactor(B461:F461,$B$2,$B$3,A461,A462,$B$8)</f>
        <v>206698.09003274856</v>
      </c>
      <c r="C462" s="57">
        <v>6.3007412599643962</v>
      </c>
      <c r="D462" s="57">
        <v>1.0648264393490963E-2</v>
      </c>
      <c r="E462" s="57">
        <v>250.37879433376128</v>
      </c>
      <c r="F462" s="58">
        <v>11446319.638329567</v>
      </c>
    </row>
    <row r="463" spans="1:6" ht="16.5" customHeight="1">
      <c r="A463" s="56">
        <f t="shared" si="6"/>
        <v>445</v>
      </c>
      <c r="B463" s="57" cm="1">
        <f t="array" ref="B463:F463">runReactor(B462:F462,$B$2,$B$3,A462,A463,$B$8)</f>
        <v>207164.25345469741</v>
      </c>
      <c r="C463" s="57">
        <v>6.2865630424611965</v>
      </c>
      <c r="D463" s="57">
        <v>1.0648555869047503E-2</v>
      </c>
      <c r="E463" s="57">
        <v>250.38576423713354</v>
      </c>
      <c r="F463" s="58">
        <v>11446319.245100359</v>
      </c>
    </row>
    <row r="464" spans="1:6" ht="16.5" customHeight="1">
      <c r="A464" s="56">
        <f t="shared" si="6"/>
        <v>446</v>
      </c>
      <c r="B464" s="57" cm="1">
        <f t="array" ref="B464:F464">runReactor(B463:F463,$B$2,$B$3,A463,A464,$B$8)</f>
        <v>207630.41687664625</v>
      </c>
      <c r="C464" s="57">
        <v>6.2724484906550959</v>
      </c>
      <c r="D464" s="57">
        <v>1.064884604230132E-2</v>
      </c>
      <c r="E464" s="57">
        <v>250.39270284293721</v>
      </c>
      <c r="F464" s="58">
        <v>11446318.853650641</v>
      </c>
    </row>
    <row r="465" spans="1:6" ht="16.5" customHeight="1">
      <c r="A465" s="56">
        <f t="shared" si="6"/>
        <v>447</v>
      </c>
      <c r="B465" s="57" cm="1">
        <f t="array" ref="B465:F465">runReactor(B464:F464,$B$2,$B$3,A464,A465,$B$8)</f>
        <v>208096.5802985951</v>
      </c>
      <c r="C465" s="57">
        <v>6.2583971766811661</v>
      </c>
      <c r="D465" s="57">
        <v>1.0649134921961251E-2</v>
      </c>
      <c r="E465" s="57">
        <v>250.39961036150737</v>
      </c>
      <c r="F465" s="58">
        <v>11446318.463968366</v>
      </c>
    </row>
    <row r="466" spans="1:6" ht="16.5" customHeight="1">
      <c r="A466" s="56">
        <f t="shared" si="6"/>
        <v>448</v>
      </c>
      <c r="B466" s="57" cm="1">
        <f t="array" ref="B466:F466">runReactor(B465:F465,$B$2,$B$3,A465,A466,$B$8)</f>
        <v>208562.74372054395</v>
      </c>
      <c r="C466" s="57">
        <v>6.2444086764998659</v>
      </c>
      <c r="D466" s="57">
        <v>1.064942251665804E-2</v>
      </c>
      <c r="E466" s="57">
        <v>250.4064870012985</v>
      </c>
      <c r="F466" s="58">
        <v>11446318.076041589</v>
      </c>
    </row>
    <row r="467" spans="1:6" ht="16.5" customHeight="1">
      <c r="A467" s="56">
        <f t="shared" si="6"/>
        <v>449</v>
      </c>
      <c r="B467" s="57" cm="1">
        <f t="array" ref="B467:F467">runReactor(B466:F466,$B$2,$B$3,A466,A467,$B$8)</f>
        <v>209028.9071424928</v>
      </c>
      <c r="C467" s="57">
        <v>6.230482569854372</v>
      </c>
      <c r="D467" s="57">
        <v>1.064970883494599E-2</v>
      </c>
      <c r="E467" s="57">
        <v>250.41333296890573</v>
      </c>
      <c r="F467" s="58">
        <v>11446317.689858472</v>
      </c>
    </row>
    <row r="468" spans="1:6" ht="16.5" customHeight="1">
      <c r="A468" s="56">
        <f t="shared" ref="A468:A531" si="7">A467+1</f>
        <v>450</v>
      </c>
      <c r="B468" s="57" cm="1">
        <f t="array" ref="B468:F468">runReactor(B467:F467,$B$2,$B$3,A467,A468,$B$8)</f>
        <v>209495.07056444164</v>
      </c>
      <c r="C468" s="57">
        <v>6.2166184402284879</v>
      </c>
      <c r="D468" s="57">
        <v>1.0649993885304342E-2</v>
      </c>
      <c r="E468" s="57">
        <v>250.42014846908515</v>
      </c>
      <c r="F468" s="58">
        <v>11446317.305407288</v>
      </c>
    </row>
    <row r="469" spans="1:6" ht="16.5" customHeight="1">
      <c r="A469" s="56">
        <f t="shared" si="7"/>
        <v>451</v>
      </c>
      <c r="B469" s="57" cm="1">
        <f t="array" ref="B469:F469">runReactor(B468:F468,$B$2,$B$3,A468,A469,$B$8)</f>
        <v>209961.23398639049</v>
      </c>
      <c r="C469" s="57">
        <v>6.2028158748051547</v>
      </c>
      <c r="D469" s="57">
        <v>1.065027767613703E-2</v>
      </c>
      <c r="E469" s="57">
        <v>250.42693370477471</v>
      </c>
      <c r="F469" s="58">
        <v>11446316.922676386</v>
      </c>
    </row>
    <row r="470" spans="1:6" ht="16.5" customHeight="1">
      <c r="A470" s="56">
        <f t="shared" si="7"/>
        <v>452</v>
      </c>
      <c r="B470" s="57" cm="1">
        <f t="array" ref="B470:F470">runReactor(B469:F469,$B$2,$B$3,A469,A470,$B$8)</f>
        <v>210427.39740833934</v>
      </c>
      <c r="C470" s="57">
        <v>6.1890744644254418</v>
      </c>
      <c r="D470" s="57">
        <v>1.0650560215773658E-2</v>
      </c>
      <c r="E470" s="57">
        <v>250.4336888771135</v>
      </c>
      <c r="F470" s="58">
        <v>11446316.541654265</v>
      </c>
    </row>
    <row r="471" spans="1:6" ht="16.5" customHeight="1">
      <c r="A471" s="56">
        <f t="shared" si="7"/>
        <v>453</v>
      </c>
      <c r="B471" s="57" cm="1">
        <f t="array" ref="B471:F471">runReactor(B470:F470,$B$2,$B$3,A470,A471,$B$8)</f>
        <v>210893.56083028819</v>
      </c>
      <c r="C471" s="57">
        <v>6.1753938035481211</v>
      </c>
      <c r="D471" s="57">
        <v>1.0650841512470813E-2</v>
      </c>
      <c r="E471" s="57">
        <v>250.44041418546243</v>
      </c>
      <c r="F471" s="58">
        <v>11446316.162329497</v>
      </c>
    </row>
    <row r="472" spans="1:6" ht="16.5" customHeight="1">
      <c r="A472" s="56">
        <f t="shared" si="7"/>
        <v>454</v>
      </c>
      <c r="B472" s="57" cm="1">
        <f t="array" ref="B472:F472">runReactor(B471:F471,$B$2,$B$3,A471,A472,$B$8)</f>
        <v>211359.72425223704</v>
      </c>
      <c r="C472" s="57">
        <v>6.1617734902097894</v>
      </c>
      <c r="D472" s="57">
        <v>1.0651121574412137E-2</v>
      </c>
      <c r="E472" s="57">
        <v>250.44710982742367</v>
      </c>
      <c r="F472" s="58">
        <v>11446315.784690771</v>
      </c>
    </row>
    <row r="473" spans="1:6" ht="16.5" customHeight="1">
      <c r="A473" s="56">
        <f t="shared" si="7"/>
        <v>455</v>
      </c>
      <c r="B473" s="57" cm="1">
        <f t="array" ref="B473:F473">runReactor(B472:F472,$B$2,$B$3,A472,A473,$B$8)</f>
        <v>211825.88767418588</v>
      </c>
      <c r="C473" s="57">
        <v>6.1482131259854755</v>
      </c>
      <c r="D473" s="57">
        <v>1.065140040971021E-2</v>
      </c>
      <c r="E473" s="57">
        <v>250.45377599886021</v>
      </c>
      <c r="F473" s="58">
        <v>11446315.408726871</v>
      </c>
    </row>
    <row r="474" spans="1:6" ht="16.5" customHeight="1">
      <c r="A474" s="56">
        <f t="shared" si="7"/>
        <v>456</v>
      </c>
      <c r="B474" s="57" cm="1">
        <f t="array" ref="B474:F474">runReactor(B473:F473,$B$2,$B$3,A473,A474,$B$8)</f>
        <v>212292.05109613473</v>
      </c>
      <c r="C474" s="57">
        <v>6.1347123159498071</v>
      </c>
      <c r="D474" s="57">
        <v>1.0651678026406593E-2</v>
      </c>
      <c r="E474" s="57">
        <v>250.46041289391411</v>
      </c>
      <c r="F474" s="58">
        <v>11446315.034426672</v>
      </c>
    </row>
    <row r="475" spans="1:6" ht="16.5" customHeight="1">
      <c r="A475" s="56">
        <f t="shared" si="7"/>
        <v>457</v>
      </c>
      <c r="B475" s="57" cm="1">
        <f t="array" ref="B475:F475">runReactor(B474:F474,$B$2,$B$3,A474,A475,$B$8)</f>
        <v>212758.21451808358</v>
      </c>
      <c r="C475" s="57">
        <v>6.1212706686386698</v>
      </c>
      <c r="D475" s="57">
        <v>1.0651954432472086E-2</v>
      </c>
      <c r="E475" s="57">
        <v>250.46702070502602</v>
      </c>
      <c r="F475" s="58">
        <v>11446314.661779158</v>
      </c>
    </row>
    <row r="476" spans="1:6" ht="16.5" customHeight="1">
      <c r="A476" s="56">
        <f t="shared" si="7"/>
        <v>458</v>
      </c>
      <c r="B476" s="57" cm="1">
        <f t="array" ref="B476:F476">runReactor(B475:F475,$B$2,$B$3,A475,A476,$B$8)</f>
        <v>213224.37794003243</v>
      </c>
      <c r="C476" s="57">
        <v>6.1078877960113571</v>
      </c>
      <c r="D476" s="57">
        <v>1.0652229635808877E-2</v>
      </c>
      <c r="E476" s="57">
        <v>250.47359962295377</v>
      </c>
      <c r="F476" s="58">
        <v>11446314.290773394</v>
      </c>
    </row>
    <row r="477" spans="1:6" ht="16.5" customHeight="1">
      <c r="A477" s="56">
        <f t="shared" si="7"/>
        <v>459</v>
      </c>
      <c r="B477" s="57" cm="1">
        <f t="array" ref="B477:F477">runReactor(B476:F476,$B$2,$B$3,A476,A477,$B$8)</f>
        <v>213690.54136198128</v>
      </c>
      <c r="C477" s="57">
        <v>6.0945633134132402</v>
      </c>
      <c r="D477" s="57">
        <v>1.0652503644250532E-2</v>
      </c>
      <c r="E477" s="57">
        <v>250.48014983679079</v>
      </c>
      <c r="F477" s="58">
        <v>11446313.921398554</v>
      </c>
    </row>
    <row r="478" spans="1:6" ht="16.5" customHeight="1">
      <c r="A478" s="56">
        <f t="shared" si="7"/>
        <v>460</v>
      </c>
      <c r="B478" s="57" cm="1">
        <f t="array" ref="B478:F478">runReactor(B477:F477,$B$2,$B$3,A477,A478,$B$8)</f>
        <v>214156.70478393012</v>
      </c>
      <c r="C478" s="57">
        <v>6.0812968395389246</v>
      </c>
      <c r="D478" s="57">
        <v>1.0652776465562282E-2</v>
      </c>
      <c r="E478" s="57">
        <v>250.48667153398367</v>
      </c>
      <c r="F478" s="58">
        <v>11446313.55364392</v>
      </c>
    </row>
    <row r="479" spans="1:6" ht="16.5" customHeight="1">
      <c r="A479" s="56">
        <f t="shared" si="7"/>
        <v>461</v>
      </c>
      <c r="B479" s="57" cm="1">
        <f t="array" ref="B479:F479">runReactor(B478:F478,$B$2,$B$3,A478,A479,$B$8)</f>
        <v>214622.86820587897</v>
      </c>
      <c r="C479" s="57">
        <v>6.0680879963958549</v>
      </c>
      <c r="D479" s="57">
        <v>1.065304810744206E-2</v>
      </c>
      <c r="E479" s="57">
        <v>250.49316490035062</v>
      </c>
      <c r="F479" s="58">
        <v>11446313.187498836</v>
      </c>
    </row>
    <row r="480" spans="1:6" ht="16.5" customHeight="1">
      <c r="A480" s="56">
        <f t="shared" si="7"/>
        <v>462</v>
      </c>
      <c r="B480" s="57" cm="1">
        <f t="array" ref="B480:F480">runReactor(B479:F479,$B$2,$B$3,A479,A480,$B$8)</f>
        <v>215089.03162782782</v>
      </c>
      <c r="C480" s="57">
        <v>6.0549364092684259</v>
      </c>
      <c r="D480" s="57">
        <v>1.0653318577521777E-2</v>
      </c>
      <c r="E480" s="57">
        <v>250.49963012009931</v>
      </c>
      <c r="F480" s="58">
        <v>11446312.822952751</v>
      </c>
    </row>
    <row r="481" spans="1:6" ht="16.5" customHeight="1">
      <c r="A481" s="56">
        <f t="shared" si="7"/>
        <v>463</v>
      </c>
      <c r="B481" s="57" cm="1">
        <f t="array" ref="B481:F481">runReactor(B480:F480,$B$2,$B$3,A480,A481,$B$8)</f>
        <v>215555.19504977667</v>
      </c>
      <c r="C481" s="57">
        <v>6.0418417066825496</v>
      </c>
      <c r="D481" s="57">
        <v>1.0653587883367765E-2</v>
      </c>
      <c r="E481" s="57">
        <v>250.5060673758432</v>
      </c>
      <c r="F481" s="58">
        <v>11446312.459995242</v>
      </c>
    </row>
    <row r="482" spans="1:6" ht="16.5" customHeight="1">
      <c r="A482" s="56">
        <f t="shared" si="7"/>
        <v>464</v>
      </c>
      <c r="B482" s="57" cm="1">
        <f t="array" ref="B482:F482">runReactor(B481:F481,$B$2,$B$3,A481,A482,$B$8)</f>
        <v>216021.35847172551</v>
      </c>
      <c r="C482" s="57">
        <v>6.028803520370678</v>
      </c>
      <c r="D482" s="57">
        <v>1.0653856032480773E-2</v>
      </c>
      <c r="E482" s="57">
        <v>250.51247684861983</v>
      </c>
      <c r="F482" s="58">
        <v>11446312.09861592</v>
      </c>
    </row>
    <row r="483" spans="1:6" ht="16.5" customHeight="1">
      <c r="A483" s="56">
        <f t="shared" si="7"/>
        <v>465</v>
      </c>
      <c r="B483" s="57" cm="1">
        <f t="array" ref="B483:F483">runReactor(B482:F482,$B$2,$B$3,A482,A483,$B$8)</f>
        <v>216487.52189367436</v>
      </c>
      <c r="C483" s="57">
        <v>6.0158214852372724</v>
      </c>
      <c r="D483" s="57">
        <v>1.065412303229777E-2</v>
      </c>
      <c r="E483" s="57">
        <v>250.51885871790768</v>
      </c>
      <c r="F483" s="58">
        <v>11446311.738804517</v>
      </c>
    </row>
    <row r="484" spans="1:6" ht="16.5" customHeight="1">
      <c r="A484" s="56">
        <f t="shared" si="7"/>
        <v>466</v>
      </c>
      <c r="B484" s="57" cm="1">
        <f t="array" ref="B484:F484">runReactor(B483:F483,$B$2,$B$3,A483,A484,$B$8)</f>
        <v>216953.68531562321</v>
      </c>
      <c r="C484" s="57">
        <v>6.0028952393247277</v>
      </c>
      <c r="D484" s="57">
        <v>1.0654388890192079E-2</v>
      </c>
      <c r="E484" s="57">
        <v>250.52521316164197</v>
      </c>
      <c r="F484" s="58">
        <v>11446311.380550867</v>
      </c>
    </row>
    <row r="485" spans="1:6" ht="16.5" customHeight="1">
      <c r="A485" s="56">
        <f t="shared" si="7"/>
        <v>467</v>
      </c>
      <c r="B485" s="57" cm="1">
        <f t="array" ref="B485:F485">runReactor(B484:F484,$B$2,$B$3,A484,A485,$B$8)</f>
        <v>217419.84873757206</v>
      </c>
      <c r="C485" s="57">
        <v>5.9900244237797535</v>
      </c>
      <c r="D485" s="57">
        <v>1.0654653613473824E-2</v>
      </c>
      <c r="E485" s="57">
        <v>250.53154035623231</v>
      </c>
      <c r="F485" s="58">
        <v>11446311.023844859</v>
      </c>
    </row>
    <row r="486" spans="1:6" ht="16.5" customHeight="1">
      <c r="A486" s="56">
        <f t="shared" si="7"/>
        <v>468</v>
      </c>
      <c r="B486" s="57" cm="1">
        <f t="array" ref="B486:F486">runReactor(B485:F485,$B$2,$B$3,A485,A486,$B$8)</f>
        <v>217886.01215952091</v>
      </c>
      <c r="C486" s="57">
        <v>5.9772086828201223</v>
      </c>
      <c r="D486" s="57">
        <v>1.0654917209391173E-2</v>
      </c>
      <c r="E486" s="57">
        <v>250.53784047657851</v>
      </c>
      <c r="F486" s="58">
        <v>11446310.668676483</v>
      </c>
    </row>
    <row r="487" spans="1:6" ht="16.5" customHeight="1">
      <c r="A487" s="56">
        <f t="shared" si="7"/>
        <v>469</v>
      </c>
      <c r="B487" s="57" cm="1">
        <f t="array" ref="B487:F487">runReactor(B486:F486,$B$2,$B$3,A486,A487,$B$8)</f>
        <v>218352.17558146975</v>
      </c>
      <c r="C487" s="57">
        <v>5.9644476637019261</v>
      </c>
      <c r="D487" s="57">
        <v>1.0655179685130332E-2</v>
      </c>
      <c r="E487" s="57">
        <v>250.54411369608673</v>
      </c>
      <c r="F487" s="58">
        <v>11446310.315035813</v>
      </c>
    </row>
    <row r="488" spans="1:6" ht="16.5" customHeight="1">
      <c r="A488" s="56">
        <f t="shared" si="7"/>
        <v>470</v>
      </c>
      <c r="B488" s="57" cm="1">
        <f t="array" ref="B488:F488">runReactor(B487:F487,$B$2,$B$3,A487,A488,$B$8)</f>
        <v>218818.3390034186</v>
      </c>
      <c r="C488" s="57">
        <v>5.9517410166871967</v>
      </c>
      <c r="D488" s="57">
        <v>1.0655441047817068E-2</v>
      </c>
      <c r="E488" s="57">
        <v>250.55036018668559</v>
      </c>
      <c r="F488" s="58">
        <v>11446309.962913023</v>
      </c>
    </row>
    <row r="489" spans="1:6" ht="16.5" customHeight="1">
      <c r="A489" s="56">
        <f t="shared" si="7"/>
        <v>471</v>
      </c>
      <c r="B489" s="57" cm="1">
        <f t="array" ref="B489:F489">runReactor(B488:F488,$B$2,$B$3,A488,A489,$B$8)</f>
        <v>219284.50242536745</v>
      </c>
      <c r="C489" s="57">
        <v>5.9390883950119511</v>
      </c>
      <c r="D489" s="57">
        <v>1.0655701304516291E-2</v>
      </c>
      <c r="E489" s="57">
        <v>250.55658011884157</v>
      </c>
      <c r="F489" s="58">
        <v>11446309.612298345</v>
      </c>
    </row>
    <row r="490" spans="1:6" ht="16.5" customHeight="1">
      <c r="A490" s="56">
        <f t="shared" si="7"/>
        <v>472</v>
      </c>
      <c r="B490" s="57" cm="1">
        <f t="array" ref="B490:F490">runReactor(B489:F489,$B$2,$B$3,A489,A490,$B$8)</f>
        <v>219750.6658473163</v>
      </c>
      <c r="C490" s="57">
        <v>5.926489454854651</v>
      </c>
      <c r="D490" s="57">
        <v>1.0655960462233837E-2</v>
      </c>
      <c r="E490" s="57">
        <v>250.56277366157462</v>
      </c>
      <c r="F490" s="58">
        <v>11446309.263182126</v>
      </c>
    </row>
    <row r="491" spans="1:6" ht="16.5" customHeight="1">
      <c r="A491" s="56">
        <f t="shared" si="7"/>
        <v>473</v>
      </c>
      <c r="B491" s="57" cm="1">
        <f t="array" ref="B491:F491">runReactor(B490:F490,$B$2,$B$3,A490,A491,$B$8)</f>
        <v>220216.82926926514</v>
      </c>
      <c r="C491" s="57">
        <v>5.9139438553050656</v>
      </c>
      <c r="D491" s="57">
        <v>1.0656218527915842E-2</v>
      </c>
      <c r="E491" s="57">
        <v>250.56894098247366</v>
      </c>
      <c r="F491" s="58">
        <v>11446308.915554762</v>
      </c>
    </row>
    <row r="492" spans="1:6" ht="16.5" customHeight="1">
      <c r="A492" s="56">
        <f t="shared" si="7"/>
        <v>474</v>
      </c>
      <c r="B492" s="57" cm="1">
        <f t="array" ref="B492:F492">runReactor(B491:F491,$B$2,$B$3,A491,A492,$B$8)</f>
        <v>220682.99269121399</v>
      </c>
      <c r="C492" s="57">
        <v>5.9014512583335117</v>
      </c>
      <c r="D492" s="57">
        <v>1.0656475508450109E-2</v>
      </c>
      <c r="E492" s="57">
        <v>250.57508224771135</v>
      </c>
      <c r="F492" s="58">
        <v>11446308.569406772</v>
      </c>
    </row>
    <row r="493" spans="1:6" ht="16.5" customHeight="1">
      <c r="A493" s="56">
        <f t="shared" si="7"/>
        <v>475</v>
      </c>
      <c r="B493" s="57" cm="1">
        <f t="array" ref="B493:F493">runReactor(B492:F492,$B$2,$B$3,A492,A493,$B$8)</f>
        <v>221149.15611316284</v>
      </c>
      <c r="C493" s="57">
        <v>5.8890113287604944</v>
      </c>
      <c r="D493" s="57">
        <v>1.0656731410667213E-2</v>
      </c>
      <c r="E493" s="57">
        <v>250.58119762205948</v>
      </c>
      <c r="F493" s="58">
        <v>11446308.224728724</v>
      </c>
    </row>
    <row r="494" spans="1:6" ht="16.5" customHeight="1">
      <c r="A494" s="56">
        <f t="shared" si="7"/>
        <v>476</v>
      </c>
      <c r="B494" s="57" cm="1">
        <f t="array" ref="B494:F494">runReactor(B493:F493,$B$2,$B$3,A493,A494,$B$8)</f>
        <v>221615.31953511169</v>
      </c>
      <c r="C494" s="57">
        <v>5.8766237342267376</v>
      </c>
      <c r="D494" s="57">
        <v>1.0656986241340044E-2</v>
      </c>
      <c r="E494" s="57">
        <v>250.58728726890334</v>
      </c>
      <c r="F494" s="58">
        <v>11446307.881511254</v>
      </c>
    </row>
    <row r="495" spans="1:6" ht="16.5" customHeight="1">
      <c r="A495" s="56">
        <f t="shared" si="7"/>
        <v>477</v>
      </c>
      <c r="B495" s="57" cm="1">
        <f t="array" ref="B495:F495">runReactor(B494:F494,$B$2,$B$3,A494,A495,$B$8)</f>
        <v>222081.48295706054</v>
      </c>
      <c r="C495" s="57">
        <v>5.8642881451635818</v>
      </c>
      <c r="D495" s="57">
        <v>1.0657240007185067E-2</v>
      </c>
      <c r="E495" s="57">
        <v>250.59335135025623</v>
      </c>
      <c r="F495" s="58">
        <v>11446307.539745122</v>
      </c>
    </row>
    <row r="496" spans="1:6" ht="16.5" customHeight="1">
      <c r="A496" s="56">
        <f t="shared" si="7"/>
        <v>478</v>
      </c>
      <c r="B496" s="57" cm="1">
        <f t="array" ref="B496:F496">runReactor(B495:F495,$B$2,$B$3,A495,A496,$B$8)</f>
        <v>222547.64637900938</v>
      </c>
      <c r="C496" s="57">
        <v>5.8520042347637551</v>
      </c>
      <c r="D496" s="57">
        <v>1.0657492714862124E-2</v>
      </c>
      <c r="E496" s="57">
        <v>250.59939002677416</v>
      </c>
      <c r="F496" s="58">
        <v>11446307.199421121</v>
      </c>
    </row>
    <row r="497" spans="1:6" ht="16.5" customHeight="1">
      <c r="A497" s="56">
        <f t="shared" si="7"/>
        <v>479</v>
      </c>
      <c r="B497" s="57" cm="1">
        <f t="array" ref="B497:F497">runReactor(B496:F496,$B$2,$B$3,A496,A497,$B$8)</f>
        <v>223013.80980095823</v>
      </c>
      <c r="C497" s="57">
        <v>5.8397716789525029</v>
      </c>
      <c r="D497" s="57">
        <v>1.0657744370976744E-2</v>
      </c>
      <c r="E497" s="57">
        <v>250.6054034577698</v>
      </c>
      <c r="F497" s="58">
        <v>11446306.860530136</v>
      </c>
    </row>
    <row r="498" spans="1:6" ht="16.5" customHeight="1">
      <c r="A498" s="56">
        <f t="shared" si="7"/>
        <v>480</v>
      </c>
      <c r="B498" s="57" cm="1">
        <f t="array" ref="B498:F498">runReactor(B497:F497,$B$2,$B$3,A497,A498,$B$8)</f>
        <v>223479.97322290708</v>
      </c>
      <c r="C498" s="57">
        <v>5.8275901563591139</v>
      </c>
      <c r="D498" s="57">
        <v>1.0657994982078679E-2</v>
      </c>
      <c r="E498" s="57">
        <v>250.61139180122646</v>
      </c>
      <c r="F498" s="58">
        <v>11446306.523063157</v>
      </c>
    </row>
    <row r="499" spans="1:6" ht="16.5" customHeight="1">
      <c r="A499" s="56">
        <f t="shared" si="7"/>
        <v>481</v>
      </c>
      <c r="B499" s="57" cm="1">
        <f t="array" ref="B499:F499">runReactor(B498:F498,$B$2,$B$3,A498,A499,$B$8)</f>
        <v>223946.13664485593</v>
      </c>
      <c r="C499" s="57">
        <v>5.8154593482887451</v>
      </c>
      <c r="D499" s="57">
        <v>1.0658244554663658E-2</v>
      </c>
      <c r="E499" s="57">
        <v>250.61735521381215</v>
      </c>
      <c r="F499" s="58">
        <v>11446306.18701121</v>
      </c>
    </row>
    <row r="500" spans="1:6" ht="16.5" customHeight="1">
      <c r="A500" s="56">
        <f t="shared" si="7"/>
        <v>482</v>
      </c>
      <c r="B500" s="57" cm="1">
        <f t="array" ref="B500:F500">runReactor(B499:F499,$B$2,$B$3,A499,A500,$B$8)</f>
        <v>224412.30006680478</v>
      </c>
      <c r="C500" s="57">
        <v>5.8033789386946539</v>
      </c>
      <c r="D500" s="57">
        <v>1.0658493095173716E-2</v>
      </c>
      <c r="E500" s="57">
        <v>250.62329385089291</v>
      </c>
      <c r="F500" s="58">
        <v>11446305.852365414</v>
      </c>
    </row>
    <row r="501" spans="1:6" ht="16.5" customHeight="1">
      <c r="A501" s="56">
        <f t="shared" si="7"/>
        <v>483</v>
      </c>
      <c r="B501" s="57" cm="1">
        <f t="array" ref="B501:F501">runReactor(B500:F500,$B$2,$B$3,A500,A501,$B$8)</f>
        <v>224878.46348875362</v>
      </c>
      <c r="C501" s="57">
        <v>5.791348614150726</v>
      </c>
      <c r="D501" s="57">
        <v>1.0658740609998321E-2</v>
      </c>
      <c r="E501" s="57">
        <v>250.62920786654692</v>
      </c>
      <c r="F501" s="58">
        <v>11446305.51911696</v>
      </c>
    </row>
    <row r="502" spans="1:6" ht="16.5" customHeight="1">
      <c r="A502" s="56">
        <f t="shared" si="7"/>
        <v>484</v>
      </c>
      <c r="B502" s="57" cm="1">
        <f t="array" ref="B502:F502">runReactor(B501:F501,$B$2,$B$3,A501,A502,$B$8)</f>
        <v>225344.62691070247</v>
      </c>
      <c r="C502" s="57">
        <v>5.7793680638243989</v>
      </c>
      <c r="D502" s="57">
        <v>1.0658987105473808E-2</v>
      </c>
      <c r="E502" s="57">
        <v>250.63509741357663</v>
      </c>
      <c r="F502" s="58">
        <v>11446305.187257107</v>
      </c>
    </row>
    <row r="503" spans="1:6" ht="16.5" customHeight="1">
      <c r="A503" s="56">
        <f t="shared" si="7"/>
        <v>485</v>
      </c>
      <c r="B503" s="57" cm="1">
        <f t="array" ref="B503:F503">runReactor(B502:F502,$B$2,$B$3,A502,A503,$B$8)</f>
        <v>225810.79033265132</v>
      </c>
      <c r="C503" s="57">
        <v>5.7674369794498759</v>
      </c>
      <c r="D503" s="57">
        <v>1.0659232587884024E-2</v>
      </c>
      <c r="E503" s="57">
        <v>250.64096264352349</v>
      </c>
      <c r="F503" s="58">
        <v>11446304.856777199</v>
      </c>
    </row>
    <row r="504" spans="1:6" ht="16.5" customHeight="1">
      <c r="A504" s="56">
        <f t="shared" si="7"/>
        <v>486</v>
      </c>
      <c r="B504" s="57" cm="1">
        <f t="array" ref="B504:F504">runReactor(B503:F503,$B$2,$B$3,A503,A504,$B$8)</f>
        <v>226276.95375460017</v>
      </c>
      <c r="C504" s="57">
        <v>5.7555550553016772</v>
      </c>
      <c r="D504" s="57">
        <v>1.0659477063461533E-2</v>
      </c>
      <c r="E504" s="57">
        <v>250.64680370667949</v>
      </c>
      <c r="F504" s="58">
        <v>11446304.527668655</v>
      </c>
    </row>
    <row r="505" spans="1:6" ht="16.5" customHeight="1">
      <c r="A505" s="56">
        <f t="shared" si="7"/>
        <v>487</v>
      </c>
      <c r="B505" s="57" cm="1">
        <f t="array" ref="B505:F505">runReactor(B504:F504,$B$2,$B$3,A504,A505,$B$8)</f>
        <v>226743.11717654901</v>
      </c>
      <c r="C505" s="57">
        <v>5.7437219881685442</v>
      </c>
      <c r="D505" s="57">
        <v>1.0659720538387657E-2</v>
      </c>
      <c r="E505" s="57">
        <v>250.65262075210111</v>
      </c>
      <c r="F505" s="58">
        <v>11446304.199922942</v>
      </c>
    </row>
    <row r="506" spans="1:6" ht="16.5" customHeight="1">
      <c r="A506" s="56">
        <f t="shared" si="7"/>
        <v>488</v>
      </c>
      <c r="B506" s="57" cm="1">
        <f t="array" ref="B506:F506">runReactor(B505:F505,$B$2,$B$3,A505,A506,$B$8)</f>
        <v>227209.28059849786</v>
      </c>
      <c r="C506" s="57">
        <v>5.7319374773276222</v>
      </c>
      <c r="D506" s="57">
        <v>1.0659963018794027E-2</v>
      </c>
      <c r="E506" s="57">
        <v>250.6584139276215</v>
      </c>
      <c r="F506" s="58">
        <v>11446303.873531623</v>
      </c>
    </row>
    <row r="507" spans="1:6" ht="16.5" customHeight="1">
      <c r="A507" s="56">
        <f t="shared" si="7"/>
        <v>489</v>
      </c>
      <c r="B507" s="57" cm="1">
        <f t="array" ref="B507:F507">runReactor(B506:F506,$B$2,$B$3,A506,A507,$B$8)</f>
        <v>227675.44402044671</v>
      </c>
      <c r="C507" s="57">
        <v>5.7202012245190188</v>
      </c>
      <c r="D507" s="57">
        <v>1.0660204510761622E-2</v>
      </c>
      <c r="E507" s="57">
        <v>250.66418337986303</v>
      </c>
      <c r="F507" s="58">
        <v>11446303.548486309</v>
      </c>
    </row>
    <row r="508" spans="1:6" ht="16.5" customHeight="1">
      <c r="A508" s="56">
        <f t="shared" si="7"/>
        <v>490</v>
      </c>
      <c r="B508" s="57" cm="1">
        <f t="array" ref="B508:F508">runReactor(B507:F507,$B$2,$B$3,A507,A508,$B$8)</f>
        <v>228141.60744239556</v>
      </c>
      <c r="C508" s="57">
        <v>5.7085129339206118</v>
      </c>
      <c r="D508" s="57">
        <v>1.0660445020321778E-2</v>
      </c>
      <c r="E508" s="57">
        <v>250.66992925424927</v>
      </c>
      <c r="F508" s="58">
        <v>11446303.224778697</v>
      </c>
    </row>
    <row r="509" spans="1:6" ht="16.5" customHeight="1">
      <c r="A509" s="56">
        <f t="shared" si="7"/>
        <v>491</v>
      </c>
      <c r="B509" s="57" cm="1">
        <f t="array" ref="B509:F509">runReactor(B508:F508,$B$2,$B$3,A508,A509,$B$8)</f>
        <v>228607.77086434441</v>
      </c>
      <c r="C509" s="57">
        <v>5.6968723121232001</v>
      </c>
      <c r="D509" s="57">
        <v>1.0660684553457925E-2</v>
      </c>
      <c r="E509" s="57">
        <v>250.67565169501793</v>
      </c>
      <c r="F509" s="58">
        <v>11446302.902400535</v>
      </c>
    </row>
    <row r="510" spans="1:6" ht="16.5" customHeight="1">
      <c r="A510" s="56">
        <f t="shared" si="7"/>
        <v>492</v>
      </c>
      <c r="B510" s="57" cm="1">
        <f t="array" ref="B510:F510">runReactor(B509:F509,$B$2,$B$3,A509,A510,$B$8)</f>
        <v>229073.93428629325</v>
      </c>
      <c r="C510" s="57">
        <v>5.6852790681059666</v>
      </c>
      <c r="D510" s="57">
        <v>1.0660923116104008E-2</v>
      </c>
      <c r="E510" s="57">
        <v>250.68135084523288</v>
      </c>
      <c r="F510" s="58">
        <v>11446302.581343649</v>
      </c>
    </row>
    <row r="511" spans="1:6" ht="16.5" customHeight="1">
      <c r="A511" s="56">
        <f t="shared" si="7"/>
        <v>493</v>
      </c>
      <c r="B511" s="57" cm="1">
        <f t="array" ref="B511:F511">runReactor(B510:F510,$B$2,$B$3,A510,A511,$B$8)</f>
        <v>229540.0977082421</v>
      </c>
      <c r="C511" s="57">
        <v>5.6737329132122207</v>
      </c>
      <c r="D511" s="57">
        <v>1.0661160714146141E-2</v>
      </c>
      <c r="E511" s="57">
        <v>250.68702684679533</v>
      </c>
      <c r="F511" s="58">
        <v>11446302.261599939</v>
      </c>
    </row>
    <row r="512" spans="1:6" ht="16.5" customHeight="1">
      <c r="A512" s="56">
        <f t="shared" si="7"/>
        <v>494</v>
      </c>
      <c r="B512" s="57" cm="1">
        <f t="array" ref="B512:F512">runReactor(B511:F511,$B$2,$B$3,A511,A512,$B$8)</f>
        <v>230006.26113019095</v>
      </c>
      <c r="C512" s="57">
        <v>5.6622335611254222</v>
      </c>
      <c r="D512" s="57">
        <v>1.0661397353422931E-2</v>
      </c>
      <c r="E512" s="57">
        <v>250.69267984045626</v>
      </c>
      <c r="F512" s="58">
        <v>11446301.943161361</v>
      </c>
    </row>
    <row r="513" spans="1:6" ht="16.5" customHeight="1">
      <c r="A513" s="56">
        <f t="shared" si="7"/>
        <v>495</v>
      </c>
      <c r="B513" s="57" cm="1">
        <f t="array" ref="B513:F513">runReactor(B512:F512,$B$2,$B$3,A512,A513,$B$8)</f>
        <v>230472.4245521398</v>
      </c>
      <c r="C513" s="57">
        <v>5.6507807278455351</v>
      </c>
      <c r="D513" s="57">
        <v>1.0661633039725697E-2</v>
      </c>
      <c r="E513" s="57">
        <v>250.69830996582814</v>
      </c>
      <c r="F513" s="58">
        <v>11446301.626019949</v>
      </c>
    </row>
    <row r="514" spans="1:6" ht="16.5" customHeight="1">
      <c r="A514" s="56">
        <f t="shared" si="7"/>
        <v>496</v>
      </c>
      <c r="B514" s="57" cm="1">
        <f t="array" ref="B514:F514">runReactor(B513:F513,$B$2,$B$3,A513,A514,$B$8)</f>
        <v>230938.58797408864</v>
      </c>
      <c r="C514" s="57">
        <v>5.6393741316656394</v>
      </c>
      <c r="D514" s="57">
        <v>1.0661867778799822E-2</v>
      </c>
      <c r="E514" s="57">
        <v>250.70391736139581</v>
      </c>
      <c r="F514" s="58">
        <v>11446301.310167776</v>
      </c>
    </row>
    <row r="515" spans="1:6" ht="16.5" customHeight="1">
      <c r="A515" s="56">
        <f t="shared" si="7"/>
        <v>497</v>
      </c>
      <c r="B515" s="57" cm="1">
        <f t="array" ref="B515:F515">runReactor(B514:F514,$B$2,$B$3,A514,A515,$B$8)</f>
        <v>231404.75139603749</v>
      </c>
      <c r="C515" s="57">
        <v>5.6280134931488268</v>
      </c>
      <c r="D515" s="57">
        <v>1.0662101576344505E-2</v>
      </c>
      <c r="E515" s="57">
        <v>250.70950216452815</v>
      </c>
      <c r="F515" s="58">
        <v>11446300.995596992</v>
      </c>
    </row>
    <row r="516" spans="1:6" ht="16.5" customHeight="1">
      <c r="A516" s="56">
        <f t="shared" si="7"/>
        <v>498</v>
      </c>
      <c r="B516" s="57" cm="1">
        <f t="array" ref="B516:F516">runReactor(B515:F515,$B$2,$B$3,A515,A516,$B$8)</f>
        <v>231870.91481798634</v>
      </c>
      <c r="C516" s="57">
        <v>5.6166985351053995</v>
      </c>
      <c r="D516" s="57">
        <v>1.0662334438012974E-2</v>
      </c>
      <c r="E516" s="57">
        <v>250.71506451148974</v>
      </c>
      <c r="F516" s="58">
        <v>11446300.682299839</v>
      </c>
    </row>
    <row r="517" spans="1:6" ht="16.5" customHeight="1">
      <c r="A517" s="56">
        <f t="shared" si="7"/>
        <v>499</v>
      </c>
      <c r="B517" s="57" cm="1">
        <f t="array" ref="B517:F517">runReactor(B516:F516,$B$2,$B$3,A516,A517,$B$8)</f>
        <v>232337.07823993519</v>
      </c>
      <c r="C517" s="57">
        <v>5.6054289825703103</v>
      </c>
      <c r="D517" s="57">
        <v>1.0662566369413306E-2</v>
      </c>
      <c r="E517" s="57">
        <v>250.72060453745115</v>
      </c>
      <c r="F517" s="58">
        <v>11446300.37026857</v>
      </c>
    </row>
    <row r="518" spans="1:6" ht="16.5" customHeight="1">
      <c r="A518" s="56">
        <f t="shared" si="7"/>
        <v>500</v>
      </c>
      <c r="B518" s="57" cm="1">
        <f t="array" ref="B518:F518">runReactor(B517:F517,$B$2,$B$3,A517,A518,$B$8)</f>
        <v>232803.24166188404</v>
      </c>
      <c r="C518" s="57">
        <v>5.5942045627808854</v>
      </c>
      <c r="D518" s="57">
        <v>1.0662797376109472E-2</v>
      </c>
      <c r="E518" s="57">
        <v>250.7261223765004</v>
      </c>
      <c r="F518" s="58">
        <v>11446300.05949554</v>
      </c>
    </row>
    <row r="519" spans="1:6" ht="16.5" customHeight="1">
      <c r="A519" s="56">
        <f t="shared" si="7"/>
        <v>501</v>
      </c>
      <c r="B519" s="57" cm="1">
        <f t="array" ref="B519:F519">runReactor(B518:F518,$B$2,$B$3,A518,A519,$B$8)</f>
        <v>233269.40508383288</v>
      </c>
      <c r="C519" s="57">
        <v>5.5830250051548438</v>
      </c>
      <c r="D519" s="57">
        <v>1.0663027463620708E-2</v>
      </c>
      <c r="E519" s="57">
        <v>250.73161816165364</v>
      </c>
      <c r="F519" s="58">
        <v>11446299.74997315</v>
      </c>
    </row>
    <row r="520" spans="1:6" ht="16.5" customHeight="1">
      <c r="A520" s="56">
        <f t="shared" si="7"/>
        <v>502</v>
      </c>
      <c r="B520" s="57" cm="1">
        <f t="array" ref="B520:F520">runReactor(B519:F519,$B$2,$B$3,A519,A520,$B$8)</f>
        <v>233735.56850578173</v>
      </c>
      <c r="C520" s="57">
        <v>5.5718900412685226</v>
      </c>
      <c r="D520" s="57">
        <v>1.0663256637422158E-2</v>
      </c>
      <c r="E520" s="57">
        <v>250.73709202486589</v>
      </c>
      <c r="F520" s="58">
        <v>11446299.441693861</v>
      </c>
    </row>
    <row r="521" spans="1:6" ht="16.5" customHeight="1">
      <c r="A521" s="56">
        <f t="shared" si="7"/>
        <v>503</v>
      </c>
      <c r="B521" s="57" cm="1">
        <f t="array" ref="B521:F521">runReactor(B520:F520,$B$2,$B$3,A520,A521,$B$8)</f>
        <v>234201.73192773058</v>
      </c>
      <c r="C521" s="57">
        <v>5.5607994048354135</v>
      </c>
      <c r="D521" s="57">
        <v>1.066348490294629E-2</v>
      </c>
      <c r="E521" s="57">
        <v>250.74254409704173</v>
      </c>
      <c r="F521" s="58">
        <v>11446299.134650202</v>
      </c>
    </row>
    <row r="522" spans="1:6" ht="16.5" customHeight="1">
      <c r="A522" s="56">
        <f t="shared" si="7"/>
        <v>504</v>
      </c>
      <c r="B522" s="57" cm="1">
        <f t="array" ref="B522:F522">runReactor(B521:F521,$B$2,$B$3,A521,A522,$B$8)</f>
        <v>234667.89534967943</v>
      </c>
      <c r="C522" s="57">
        <v>5.5497528316849394</v>
      </c>
      <c r="D522" s="57">
        <v>1.0663712265581557E-2</v>
      </c>
      <c r="E522" s="57">
        <v>250.74797450804513</v>
      </c>
      <c r="F522" s="58">
        <v>11446298.828834765</v>
      </c>
    </row>
    <row r="523" spans="1:6" ht="16.5" customHeight="1">
      <c r="A523" s="56">
        <f t="shared" si="7"/>
        <v>505</v>
      </c>
      <c r="B523" s="57" cm="1">
        <f t="array" ref="B523:F523">runReactor(B522:F522,$B$2,$B$3,A522,A523,$B$8)</f>
        <v>235134.05877162828</v>
      </c>
      <c r="C523" s="57">
        <v>5.5387500597414583</v>
      </c>
      <c r="D523" s="57">
        <v>1.0663938730674467E-2</v>
      </c>
      <c r="E523" s="57">
        <v>250.75338338671051</v>
      </c>
      <c r="F523" s="58">
        <v>11446298.524240177</v>
      </c>
    </row>
    <row r="524" spans="1:6" ht="16.5" customHeight="1">
      <c r="A524" s="56">
        <f t="shared" si="7"/>
        <v>506</v>
      </c>
      <c r="B524" s="57" cm="1">
        <f t="array" ref="B524:F524">runReactor(B523:F523,$B$2,$B$3,A523,A524,$B$8)</f>
        <v>235600.22219357712</v>
      </c>
      <c r="C524" s="57">
        <v>5.5277908290035445</v>
      </c>
      <c r="D524" s="57">
        <v>1.0664164303529518E-2</v>
      </c>
      <c r="E524" s="57">
        <v>250.75877086085285</v>
      </c>
      <c r="F524" s="58">
        <v>11446298.220859153</v>
      </c>
    </row>
    <row r="525" spans="1:6" ht="16.5" customHeight="1">
      <c r="A525" s="56">
        <f t="shared" si="7"/>
        <v>507</v>
      </c>
      <c r="B525" s="57" cm="1">
        <f t="array" ref="B525:F525">runReactor(B524:F524,$B$2,$B$3,A524,A525,$B$8)</f>
        <v>236066.38561552597</v>
      </c>
      <c r="C525" s="57">
        <v>5.5168748815235293</v>
      </c>
      <c r="D525" s="57">
        <v>1.0664388989409494E-2</v>
      </c>
      <c r="E525" s="57">
        <v>250.76413705727683</v>
      </c>
      <c r="F525" s="58">
        <v>11446297.918684456</v>
      </c>
    </row>
    <row r="526" spans="1:6" ht="16.5" customHeight="1">
      <c r="A526" s="56">
        <f t="shared" si="7"/>
        <v>508</v>
      </c>
      <c r="B526" s="57" cm="1">
        <f t="array" ref="B526:F526">runReactor(B525:F525,$B$2,$B$3,A525,A526,$B$8)</f>
        <v>236532.54903747482</v>
      </c>
      <c r="C526" s="57">
        <v>5.5060019613872324</v>
      </c>
      <c r="D526" s="57">
        <v>1.0664612793535434E-2</v>
      </c>
      <c r="E526" s="57">
        <v>250.76948210178821</v>
      </c>
      <c r="F526" s="58">
        <v>11446297.617708907</v>
      </c>
    </row>
    <row r="527" spans="1:6" ht="16.5" customHeight="1">
      <c r="A527" s="56">
        <f t="shared" si="7"/>
        <v>509</v>
      </c>
      <c r="B527" s="57" cm="1">
        <f t="array" ref="B527:F527">runReactor(B526:F526,$B$2,$B$3,A526,A527,$B$8)</f>
        <v>236998.71245942367</v>
      </c>
      <c r="C527" s="57">
        <v>5.495171814693987</v>
      </c>
      <c r="D527" s="57">
        <v>1.0664835721088124E-2</v>
      </c>
      <c r="E527" s="57">
        <v>250.77480611920268</v>
      </c>
      <c r="F527" s="58">
        <v>11446297.317925364</v>
      </c>
    </row>
    <row r="528" spans="1:6" ht="16.5" customHeight="1">
      <c r="A528" s="56">
        <f t="shared" si="7"/>
        <v>510</v>
      </c>
      <c r="B528" s="57" cm="1">
        <f t="array" ref="B528:F528">runReactor(B527:F527,$B$2,$B$3,A527,A528,$B$8)</f>
        <v>237464.87588137251</v>
      </c>
      <c r="C528" s="57">
        <v>5.4843841895368648</v>
      </c>
      <c r="D528" s="57">
        <v>1.0665057777207299E-2</v>
      </c>
      <c r="E528" s="57">
        <v>250.78010923335546</v>
      </c>
      <c r="F528" s="58">
        <v>11446297.019326771</v>
      </c>
    </row>
    <row r="529" spans="1:6" ht="16.5" customHeight="1">
      <c r="A529" s="56">
        <f t="shared" si="7"/>
        <v>511</v>
      </c>
      <c r="B529" s="57" cm="1">
        <f t="array" ref="B529:F529">runReactor(B528:F528,$B$2,$B$3,A528,A529,$B$8)</f>
        <v>237931.03930332136</v>
      </c>
      <c r="C529" s="57">
        <v>5.4736388359831434</v>
      </c>
      <c r="D529" s="57">
        <v>1.0665278966992479E-2</v>
      </c>
      <c r="E529" s="57">
        <v>250.78539156711156</v>
      </c>
      <c r="F529" s="58">
        <v>11446296.72190612</v>
      </c>
    </row>
    <row r="530" spans="1:6" ht="16.5" customHeight="1">
      <c r="A530" s="56">
        <f t="shared" si="7"/>
        <v>512</v>
      </c>
      <c r="B530" s="57" cm="1">
        <f t="array" ref="B530:F530">runReactor(B529:F529,$B$2,$B$3,A529,A530,$B$8)</f>
        <v>238397.20272527021</v>
      </c>
      <c r="C530" s="57">
        <v>5.4629355060550084</v>
      </c>
      <c r="D530" s="57">
        <v>1.0665499295503925E-2</v>
      </c>
      <c r="E530" s="57">
        <v>250.79065324237507</v>
      </c>
      <c r="F530" s="58">
        <v>11446296.425656443</v>
      </c>
    </row>
    <row r="531" spans="1:6" ht="16.5" customHeight="1">
      <c r="A531" s="56">
        <f t="shared" si="7"/>
        <v>513</v>
      </c>
      <c r="B531" s="57" cm="1">
        <f t="array" ref="B531:F531">runReactor(B530:F530,$B$2,$B$3,A530,A531,$B$8)</f>
        <v>238863.36614721906</v>
      </c>
      <c r="C531" s="57">
        <v>5.4522739537104759</v>
      </c>
      <c r="D531" s="57">
        <v>1.066571876776203E-2</v>
      </c>
      <c r="E531" s="57">
        <v>250.79589438009839</v>
      </c>
      <c r="F531" s="58">
        <v>11446296.13057084</v>
      </c>
    </row>
    <row r="532" spans="1:6" ht="16.5" customHeight="1">
      <c r="A532" s="56">
        <f t="shared" ref="A532:A595" si="8">A531+1</f>
        <v>514</v>
      </c>
      <c r="B532" s="57" cm="1">
        <f t="array" ref="B532:F532">runReactor(B531:F531,$B$2,$B$3,A531,A532,$B$8)</f>
        <v>239329.52956916791</v>
      </c>
      <c r="C532" s="57">
        <v>5.4416539348245356</v>
      </c>
      <c r="D532" s="57">
        <v>1.0665937388748959E-2</v>
      </c>
      <c r="E532" s="57">
        <v>250.80111510029147</v>
      </c>
      <c r="F532" s="58">
        <v>11446295.836642463</v>
      </c>
    </row>
    <row r="533" spans="1:6" ht="16.5" customHeight="1">
      <c r="A533" s="56">
        <f t="shared" si="8"/>
        <v>515</v>
      </c>
      <c r="B533" s="57" cm="1">
        <f t="array" ref="B533:F533">runReactor(B532:F532,$B$2,$B$3,A532,A533,$B$8)</f>
        <v>239795.69299111675</v>
      </c>
      <c r="C533" s="57">
        <v>5.4310752071705215</v>
      </c>
      <c r="D533" s="57">
        <v>1.0666155163408303E-2</v>
      </c>
      <c r="E533" s="57">
        <v>250.80631552203104</v>
      </c>
      <c r="F533" s="58">
        <v>11446295.543864517</v>
      </c>
    </row>
    <row r="534" spans="1:6" ht="16.5" customHeight="1">
      <c r="A534" s="56">
        <f t="shared" si="8"/>
        <v>516</v>
      </c>
      <c r="B534" s="57" cm="1">
        <f t="array" ref="B534:F534">runReactor(B533:F533,$B$2,$B$3,A533,A534,$B$8)</f>
        <v>240261.8564130656</v>
      </c>
      <c r="C534" s="57">
        <v>5.4205375304017034</v>
      </c>
      <c r="D534" s="57">
        <v>1.0666372096644731E-2</v>
      </c>
      <c r="E534" s="57">
        <v>250.81149576346976</v>
      </c>
      <c r="F534" s="58">
        <v>11446295.252230266</v>
      </c>
    </row>
    <row r="535" spans="1:6" ht="16.5" customHeight="1">
      <c r="A535" s="56">
        <f t="shared" si="8"/>
        <v>517</v>
      </c>
      <c r="B535" s="57" cm="1">
        <f t="array" ref="B535:F535">runReactor(B534:F534,$B$2,$B$3,A534,A535,$B$8)</f>
        <v>240728.01983501445</v>
      </c>
      <c r="C535" s="57">
        <v>5.4100406660330727</v>
      </c>
      <c r="D535" s="57">
        <v>1.066658819332536E-2</v>
      </c>
      <c r="E535" s="57">
        <v>250.81665594184511</v>
      </c>
      <c r="F535" s="58">
        <v>11446294.961733013</v>
      </c>
    </row>
    <row r="536" spans="1:6" ht="16.5" customHeight="1">
      <c r="A536" s="56">
        <f t="shared" si="8"/>
        <v>518</v>
      </c>
      <c r="B536" s="57" cm="1">
        <f t="array" ref="B536:F536">runReactor(B535:F535,$B$2,$B$3,A535,A536,$B$8)</f>
        <v>241194.1832569633</v>
      </c>
      <c r="C536" s="57">
        <v>5.3995843774233423</v>
      </c>
      <c r="D536" s="57">
        <v>1.066680345828021E-2</v>
      </c>
      <c r="E536" s="57">
        <v>250.82179617348794</v>
      </c>
      <c r="F536" s="58">
        <v>11446294.67236612</v>
      </c>
    </row>
    <row r="537" spans="1:6" ht="16.5" customHeight="1">
      <c r="A537" s="56">
        <f t="shared" si="8"/>
        <v>519</v>
      </c>
      <c r="B537" s="57" cm="1">
        <f t="array" ref="B537:F537">runReactor(B536:F536,$B$2,$B$3,A536,A537,$B$8)</f>
        <v>241660.34667891214</v>
      </c>
      <c r="C537" s="57">
        <v>5.3891684297571922</v>
      </c>
      <c r="D537" s="57">
        <v>1.0667017896301973E-2</v>
      </c>
      <c r="E537" s="57">
        <v>250.82691657383177</v>
      </c>
      <c r="F537" s="58">
        <v>11446294.384123009</v>
      </c>
    </row>
    <row r="538" spans="1:6" ht="16.5" customHeight="1">
      <c r="A538" s="56">
        <f t="shared" si="8"/>
        <v>520</v>
      </c>
      <c r="B538" s="57" cm="1">
        <f t="array" ref="B538:F538">runReactor(B537:F537,$B$2,$B$3,A537,A538,$B$8)</f>
        <v>242126.51010086099</v>
      </c>
      <c r="C538" s="57">
        <v>5.3787925900276674</v>
      </c>
      <c r="D538" s="57">
        <v>1.0667231512146619E-2</v>
      </c>
      <c r="E538" s="57">
        <v>250.83201725742094</v>
      </c>
      <c r="F538" s="58">
        <v>11446294.096997134</v>
      </c>
    </row>
    <row r="539" spans="1:6" ht="16.5" customHeight="1">
      <c r="A539" s="56">
        <f t="shared" si="8"/>
        <v>521</v>
      </c>
      <c r="B539" s="57" cm="1">
        <f t="array" ref="B539:F539">runReactor(B538:F538,$B$2,$B$3,A538,A539,$B$8)</f>
        <v>242592.67352280984</v>
      </c>
      <c r="C539" s="57">
        <v>5.3684566270188183</v>
      </c>
      <c r="D539" s="57">
        <v>1.0667444310533214E-2</v>
      </c>
      <c r="E539" s="57">
        <v>250.83709833791971</v>
      </c>
      <c r="F539" s="58">
        <v>11446293.810982015</v>
      </c>
    </row>
    <row r="540" spans="1:6" ht="16.5" customHeight="1">
      <c r="A540" s="56">
        <f t="shared" si="8"/>
        <v>522</v>
      </c>
      <c r="B540" s="57" cm="1">
        <f t="array" ref="B540:F540">runReactor(B539:F539,$B$2,$B$3,A539,A540,$B$8)</f>
        <v>243058.83694475869</v>
      </c>
      <c r="C540" s="57">
        <v>5.3581603112885023</v>
      </c>
      <c r="D540" s="57">
        <v>1.0667656296145578E-2</v>
      </c>
      <c r="E540" s="57">
        <v>250.84215992811971</v>
      </c>
      <c r="F540" s="58">
        <v>11446293.526071221</v>
      </c>
    </row>
    <row r="541" spans="1:6" ht="16.5" customHeight="1">
      <c r="A541" s="56">
        <f t="shared" si="8"/>
        <v>523</v>
      </c>
      <c r="B541" s="57" cm="1">
        <f t="array" ref="B541:F541">runReactor(B540:F540,$B$2,$B$3,A540,A541,$B$8)</f>
        <v>243525.00036670754</v>
      </c>
      <c r="C541" s="57">
        <v>5.3479034151514444</v>
      </c>
      <c r="D541" s="57">
        <v>1.0667867473631474E-2</v>
      </c>
      <c r="E541" s="57">
        <v>250.84720213994956</v>
      </c>
      <c r="F541" s="58">
        <v>11446293.242258374</v>
      </c>
    </row>
    <row r="542" spans="1:6" ht="16.5" customHeight="1">
      <c r="A542" s="56">
        <f t="shared" si="8"/>
        <v>524</v>
      </c>
      <c r="B542" s="57" cm="1">
        <f t="array" ref="B542:F542">runReactor(B541:F541,$B$2,$B$3,A541,A542,$B$8)</f>
        <v>243991.16378865638</v>
      </c>
      <c r="C542" s="57">
        <v>5.3376857126624184</v>
      </c>
      <c r="D542" s="57">
        <v>1.0668077847602831E-2</v>
      </c>
      <c r="E542" s="57">
        <v>250.85222508448217</v>
      </c>
      <c r="F542" s="58">
        <v>11446292.95953713</v>
      </c>
    </row>
    <row r="543" spans="1:6" ht="16.5" customHeight="1">
      <c r="A543" s="56">
        <f t="shared" si="8"/>
        <v>525</v>
      </c>
      <c r="B543" s="57" cm="1">
        <f t="array" ref="B543:F543">runReactor(B542:F542,$B$2,$B$3,A542,A543,$B$8)</f>
        <v>244457.32721060523</v>
      </c>
      <c r="C543" s="57">
        <v>5.3275069795996668</v>
      </c>
      <c r="D543" s="57">
        <v>1.0668287422636922E-2</v>
      </c>
      <c r="E543" s="57">
        <v>250.85722887194297</v>
      </c>
      <c r="F543" s="58">
        <v>11446292.677901212</v>
      </c>
    </row>
    <row r="544" spans="1:6" ht="16.5" customHeight="1">
      <c r="A544" s="56">
        <f t="shared" si="8"/>
        <v>526</v>
      </c>
      <c r="B544" s="57" cm="1">
        <f t="array" ref="B544:F544">runReactor(B543:F543,$B$2,$B$3,A543,A544,$B$8)</f>
        <v>244923.49063255408</v>
      </c>
      <c r="C544" s="57">
        <v>5.3173669934485108</v>
      </c>
      <c r="D544" s="57">
        <v>1.0668496203276742E-2</v>
      </c>
      <c r="E544" s="57">
        <v>250.86221361171852</v>
      </c>
      <c r="F544" s="58">
        <v>11446292.397344364</v>
      </c>
    </row>
    <row r="545" spans="1:6" ht="16.5" customHeight="1">
      <c r="A545" s="56">
        <f t="shared" si="8"/>
        <v>527</v>
      </c>
      <c r="B545" s="57" cm="1">
        <f t="array" ref="B545:F545">runReactor(B544:F544,$B$2,$B$3,A544,A545,$B$8)</f>
        <v>245389.65405450293</v>
      </c>
      <c r="C545" s="57">
        <v>5.3072655333851202</v>
      </c>
      <c r="D545" s="57">
        <v>1.0668704194030071E-2</v>
      </c>
      <c r="E545" s="57">
        <v>250.86717941236418</v>
      </c>
      <c r="F545" s="58">
        <v>11446292.117860412</v>
      </c>
    </row>
    <row r="546" spans="1:6" ht="16.5" customHeight="1">
      <c r="A546" s="56">
        <f t="shared" si="8"/>
        <v>528</v>
      </c>
      <c r="B546" s="57" cm="1">
        <f t="array" ref="B546:F546">runReactor(B545:F545,$B$2,$B$3,A545,A546,$B$8)</f>
        <v>245855.81747645178</v>
      </c>
      <c r="C546" s="57">
        <v>5.2972023802604857</v>
      </c>
      <c r="D546" s="57">
        <v>1.0668911399371532E-2</v>
      </c>
      <c r="E546" s="57">
        <v>250.87212638161196</v>
      </c>
      <c r="F546" s="58">
        <v>11446291.839443216</v>
      </c>
    </row>
    <row r="547" spans="1:6" ht="16.5" customHeight="1">
      <c r="A547" s="56">
        <f t="shared" si="8"/>
        <v>529</v>
      </c>
      <c r="B547" s="57" cm="1">
        <f t="array" ref="B547:F547">runReactor(B546:F546,$B$2,$B$3,A546,A547,$B$8)</f>
        <v>246321.98089840062</v>
      </c>
      <c r="C547" s="57">
        <v>5.2871773165845806</v>
      </c>
      <c r="D547" s="57">
        <v>1.0669117823741737E-2</v>
      </c>
      <c r="E547" s="57">
        <v>250.87705462637834</v>
      </c>
      <c r="F547" s="58">
        <v>11446291.562086664</v>
      </c>
    </row>
    <row r="548" spans="1:6" ht="16.5" customHeight="1">
      <c r="A548" s="56">
        <f t="shared" si="8"/>
        <v>530</v>
      </c>
      <c r="B548" s="57" cm="1">
        <f t="array" ref="B548:F548">runReactor(B547:F547,$B$2,$B$3,A547,A548,$B$8)</f>
        <v>246788.14432034947</v>
      </c>
      <c r="C548" s="57">
        <v>5.2771901265106917</v>
      </c>
      <c r="D548" s="57">
        <v>1.0669323471547391E-2</v>
      </c>
      <c r="E548" s="57">
        <v>250.88196425277198</v>
      </c>
      <c r="F548" s="58">
        <v>11446291.285784708</v>
      </c>
    </row>
    <row r="549" spans="1:6" ht="16.5" customHeight="1">
      <c r="A549" s="56">
        <f t="shared" si="8"/>
        <v>531</v>
      </c>
      <c r="B549" s="57" cm="1">
        <f t="array" ref="B549:F549">runReactor(B548:F548,$B$2,$B$3,A548,A549,$B$8)</f>
        <v>247254.30774229832</v>
      </c>
      <c r="C549" s="57">
        <v>5.2672405958199091</v>
      </c>
      <c r="D549" s="57">
        <v>1.0669528347162191E-2</v>
      </c>
      <c r="E549" s="57">
        <v>250.88685536610112</v>
      </c>
      <c r="F549" s="58">
        <v>11446291.010531332</v>
      </c>
    </row>
    <row r="550" spans="1:6" ht="16.5" customHeight="1">
      <c r="A550" s="56">
        <f t="shared" si="8"/>
        <v>532</v>
      </c>
      <c r="B550" s="57" cm="1">
        <f t="array" ref="B550:F550">runReactor(B549:F549,$B$2,$B$3,A549,A550,$B$8)</f>
        <v>247720.47116424717</v>
      </c>
      <c r="C550" s="57">
        <v>5.2573285119058308</v>
      </c>
      <c r="D550" s="57">
        <v>1.0669732454927559E-2</v>
      </c>
      <c r="E550" s="57">
        <v>250.89172807088136</v>
      </c>
      <c r="F550" s="58">
        <v>11446290.736320615</v>
      </c>
    </row>
    <row r="551" spans="1:6" ht="16.5" customHeight="1">
      <c r="A551" s="56">
        <f t="shared" si="8"/>
        <v>533</v>
      </c>
      <c r="B551" s="57" cm="1">
        <f t="array" ref="B551:F551">runReactor(B550:F550,$B$2,$B$3,A550,A551,$B$8)</f>
        <v>248186.63458619601</v>
      </c>
      <c r="C551" s="57">
        <v>5.247453663759404</v>
      </c>
      <c r="D551" s="57">
        <v>1.0669935799152151E-2</v>
      </c>
      <c r="E551" s="57">
        <v>250.89658247084341</v>
      </c>
      <c r="F551" s="58">
        <v>11446290.463146614</v>
      </c>
    </row>
    <row r="552" spans="1:6" ht="16.5" customHeight="1">
      <c r="A552" s="56">
        <f t="shared" si="8"/>
        <v>534</v>
      </c>
      <c r="B552" s="57" cm="1">
        <f t="array" ref="B552:F552">runReactor(B551:F551,$B$2,$B$3,A551,A552,$B$8)</f>
        <v>248652.79800814486</v>
      </c>
      <c r="C552" s="57">
        <v>5.237615841953966</v>
      </c>
      <c r="D552" s="57">
        <v>1.0670138384113074E-2</v>
      </c>
      <c r="E552" s="57">
        <v>250.90141866893973</v>
      </c>
      <c r="F552" s="58">
        <v>11446290.191003453</v>
      </c>
    </row>
    <row r="553" spans="1:6" ht="16.5" customHeight="1">
      <c r="A553" s="56">
        <f t="shared" si="8"/>
        <v>535</v>
      </c>
      <c r="B553" s="57" cm="1">
        <f t="array" ref="B553:F553">runReactor(B552:F552,$B$2,$B$3,A552,A553,$B$8)</f>
        <v>249118.96143009371</v>
      </c>
      <c r="C553" s="57">
        <v>5.227814838630426</v>
      </c>
      <c r="D553" s="57">
        <v>1.0670340214054436E-2</v>
      </c>
      <c r="E553" s="57">
        <v>250.90623676735186</v>
      </c>
      <c r="F553" s="58">
        <v>11446289.919885332</v>
      </c>
    </row>
    <row r="554" spans="1:6" ht="16.5" customHeight="1">
      <c r="A554" s="56">
        <f t="shared" si="8"/>
        <v>536</v>
      </c>
      <c r="B554" s="57" cm="1">
        <f t="array" ref="B554:F554">runReactor(B553:F553,$B$2,$B$3,A553,A554,$B$8)</f>
        <v>249585.12485204256</v>
      </c>
      <c r="C554" s="57">
        <v>5.2180504474826348</v>
      </c>
      <c r="D554" s="57">
        <v>1.0670541293189702E-2</v>
      </c>
      <c r="E554" s="57">
        <v>250.91103686749886</v>
      </c>
      <c r="F554" s="58">
        <v>11446289.649786463</v>
      </c>
    </row>
    <row r="555" spans="1:6" ht="16.5" customHeight="1">
      <c r="A555" s="56">
        <f t="shared" si="8"/>
        <v>537</v>
      </c>
      <c r="B555" s="57" cm="1">
        <f t="array" ref="B555:F555">runReactor(B554:F554,$B$2,$B$3,A554,A555,$B$8)</f>
        <v>250051.28827399141</v>
      </c>
      <c r="C555" s="57">
        <v>5.2083224637429169</v>
      </c>
      <c r="D555" s="57">
        <v>1.0670741625700012E-2</v>
      </c>
      <c r="E555" s="57">
        <v>250.91581907004263</v>
      </c>
      <c r="F555" s="58">
        <v>11446289.3807011</v>
      </c>
    </row>
    <row r="556" spans="1:6" ht="16.5" customHeight="1">
      <c r="A556" s="56">
        <f t="shared" si="8"/>
        <v>538</v>
      </c>
      <c r="B556" s="57" cm="1">
        <f t="array" ref="B556:F556">runReactor(B555:F555,$B$2,$B$3,A555,A556,$B$8)</f>
        <v>250517.45169594025</v>
      </c>
      <c r="C556" s="57">
        <v>5.1986306841677159</v>
      </c>
      <c r="D556" s="57">
        <v>1.0670941215736224E-2</v>
      </c>
      <c r="E556" s="57">
        <v>250.92058347489609</v>
      </c>
      <c r="F556" s="58">
        <v>11446289.112623574</v>
      </c>
    </row>
    <row r="557" spans="1:6" ht="16.5" customHeight="1">
      <c r="A557" s="56">
        <f t="shared" si="8"/>
        <v>539</v>
      </c>
      <c r="B557" s="57" cm="1">
        <f t="array" ref="B557:F557">runReactor(B556:F556,$B$2,$B$3,A556,A557,$B$8)</f>
        <v>250983.6151178891</v>
      </c>
      <c r="C557" s="57">
        <v>5.1889749070234936</v>
      </c>
      <c r="D557" s="57">
        <v>1.0671140067418641E-2</v>
      </c>
      <c r="E557" s="57">
        <v>250.92533018122995</v>
      </c>
      <c r="F557" s="58">
        <v>11446288.845548201</v>
      </c>
    </row>
    <row r="558" spans="1:6" ht="16.5" customHeight="1">
      <c r="A558" s="56">
        <f t="shared" si="8"/>
        <v>540</v>
      </c>
      <c r="B558" s="57" cm="1">
        <f t="array" ref="B558:F558">runReactor(B557:F557,$B$2,$B$3,A557,A558,$B$8)</f>
        <v>251449.77853983795</v>
      </c>
      <c r="C558" s="57">
        <v>5.1793549320727017</v>
      </c>
      <c r="D558" s="57">
        <v>1.0671338184836753E-2</v>
      </c>
      <c r="E558" s="57">
        <v>250.93005928747968</v>
      </c>
      <c r="F558" s="58">
        <v>11446288.579469379</v>
      </c>
    </row>
    <row r="559" spans="1:6" ht="16.5" customHeight="1">
      <c r="A559" s="56">
        <f t="shared" si="8"/>
        <v>541</v>
      </c>
      <c r="B559" s="57" cm="1">
        <f t="array" ref="B559:F559">runReactor(B558:F558,$B$2,$B$3,A558,A559,$B$8)</f>
        <v>251915.9419617868</v>
      </c>
      <c r="C559" s="57">
        <v>5.169770560559936</v>
      </c>
      <c r="D559" s="57">
        <v>1.0671535572050127E-2</v>
      </c>
      <c r="E559" s="57">
        <v>250.93477089135169</v>
      </c>
      <c r="F559" s="58">
        <v>11446288.314381553</v>
      </c>
    </row>
    <row r="560" spans="1:6" ht="16.5" customHeight="1">
      <c r="A560" s="56">
        <f t="shared" si="8"/>
        <v>542</v>
      </c>
      <c r="B560" s="57" cm="1">
        <f t="array" ref="B560:F560">runReactor(B559:F559,$B$2,$B$3,A559,A560,$B$8)</f>
        <v>252382.10538373564</v>
      </c>
      <c r="C560" s="57">
        <v>5.1602215951982835</v>
      </c>
      <c r="D560" s="57">
        <v>1.0671732233088184E-2</v>
      </c>
      <c r="E560" s="57">
        <v>250.93946508983078</v>
      </c>
      <c r="F560" s="58">
        <v>11446288.050279178</v>
      </c>
    </row>
    <row r="561" spans="1:6" ht="16.5" customHeight="1">
      <c r="A561" s="56">
        <f t="shared" si="8"/>
        <v>543</v>
      </c>
      <c r="B561" s="57" cm="1">
        <f t="array" ref="B561:F561">runReactor(B560:F560,$B$2,$B$3,A560,A561,$B$8)</f>
        <v>252848.26880568449</v>
      </c>
      <c r="C561" s="57">
        <v>5.1507078401557331</v>
      </c>
      <c r="D561" s="57">
        <v>1.0671928171951204E-2</v>
      </c>
      <c r="E561" s="57">
        <v>250.94414197918653</v>
      </c>
      <c r="F561" s="58">
        <v>11446287.787156781</v>
      </c>
    </row>
    <row r="562" spans="1:6" ht="16.5" customHeight="1">
      <c r="A562" s="56">
        <f t="shared" si="8"/>
        <v>544</v>
      </c>
      <c r="B562" s="57" cm="1">
        <f t="array" ref="B562:F562">runReactor(B561:F561,$B$2,$B$3,A561,A562,$B$8)</f>
        <v>253314.43222763334</v>
      </c>
      <c r="C562" s="57">
        <v>5.1412291010418283</v>
      </c>
      <c r="D562" s="57">
        <v>1.0672123392609995E-2</v>
      </c>
      <c r="E562" s="57">
        <v>250.94880165497975</v>
      </c>
      <c r="F562" s="58">
        <v>11446287.525008913</v>
      </c>
    </row>
    <row r="563" spans="1:6" ht="16.5" customHeight="1">
      <c r="A563" s="56">
        <f t="shared" si="8"/>
        <v>545</v>
      </c>
      <c r="B563" s="57" cm="1">
        <f t="array" ref="B563:F563">runReactor(B562:F562,$B$2,$B$3,A562,A563,$B$8)</f>
        <v>253780.59564958219</v>
      </c>
      <c r="C563" s="57">
        <v>5.1317851848944267</v>
      </c>
      <c r="D563" s="57">
        <v>1.0672317899005877E-2</v>
      </c>
      <c r="E563" s="57">
        <v>250.95344421206906</v>
      </c>
      <c r="F563" s="58">
        <v>11446287.263830168</v>
      </c>
    </row>
    <row r="564" spans="1:6" ht="16.5" customHeight="1">
      <c r="A564" s="56">
        <f t="shared" si="8"/>
        <v>546</v>
      </c>
      <c r="B564" s="57" cm="1">
        <f t="array" ref="B564:F564">runReactor(B563:F563,$B$2,$B$3,A563,A564,$B$8)</f>
        <v>254246.75907153104</v>
      </c>
      <c r="C564" s="57">
        <v>5.1223759001665714</v>
      </c>
      <c r="D564" s="57">
        <v>1.0672511695052154E-2</v>
      </c>
      <c r="E564" s="57">
        <v>250.95806974461766</v>
      </c>
      <c r="F564" s="58">
        <v>11446287.00361518</v>
      </c>
    </row>
    <row r="565" spans="1:6" ht="16.5" customHeight="1">
      <c r="A565" s="56">
        <f t="shared" si="8"/>
        <v>547</v>
      </c>
      <c r="B565" s="57" cm="1">
        <f t="array" ref="B565:F565">runReactor(B564:F564,$B$2,$B$3,A564,A565,$B$8)</f>
        <v>254712.92249347988</v>
      </c>
      <c r="C565" s="57">
        <v>5.1130010567135793</v>
      </c>
      <c r="D565" s="57">
        <v>1.0672704784632983E-2</v>
      </c>
      <c r="E565" s="57">
        <v>250.96267834609904</v>
      </c>
      <c r="F565" s="58">
        <v>11446286.744358633</v>
      </c>
    </row>
    <row r="566" spans="1:6" ht="16.5" customHeight="1">
      <c r="A566" s="56">
        <f t="shared" si="8"/>
        <v>548</v>
      </c>
      <c r="B566" s="57" cm="1">
        <f t="array" ref="B566:F566">runReactor(B565:F565,$B$2,$B$3,A565,A566,$B$8)</f>
        <v>255179.08591542873</v>
      </c>
      <c r="C566" s="57">
        <v>5.1036604657802158</v>
      </c>
      <c r="D566" s="57">
        <v>1.0672897171604072E-2</v>
      </c>
      <c r="E566" s="57">
        <v>250.96727010930402</v>
      </c>
      <c r="F566" s="58">
        <v>11446286.486055236</v>
      </c>
    </row>
    <row r="567" spans="1:6" ht="16.5" customHeight="1">
      <c r="A567" s="56">
        <f t="shared" si="8"/>
        <v>549</v>
      </c>
      <c r="B567" s="57" cm="1">
        <f t="array" ref="B567:F567">runReactor(B566:F566,$B$2,$B$3,A566,A567,$B$8)</f>
        <v>255645.24933737758</v>
      </c>
      <c r="C567" s="57">
        <v>5.0943539399880207</v>
      </c>
      <c r="D567" s="57">
        <v>1.067308885979389E-2</v>
      </c>
      <c r="E567" s="57">
        <v>250.97184512634618</v>
      </c>
      <c r="F567" s="58">
        <v>11446286.228699729</v>
      </c>
    </row>
    <row r="568" spans="1:6" ht="16.5" customHeight="1">
      <c r="A568" s="56">
        <f t="shared" si="8"/>
        <v>550</v>
      </c>
      <c r="B568" s="57" cm="1">
        <f t="array" ref="B568:F568">runReactor(B567:F567,$B$2,$B$3,A567,A568,$B$8)</f>
        <v>256111.41275932643</v>
      </c>
      <c r="C568" s="57">
        <v>5.0850812933227871</v>
      </c>
      <c r="D568" s="57">
        <v>1.0673279853002354E-2</v>
      </c>
      <c r="E568" s="57">
        <v>250.97640348866858</v>
      </c>
      <c r="F568" s="58">
        <v>11446285.972286923</v>
      </c>
    </row>
    <row r="569" spans="1:6" ht="16.5" customHeight="1">
      <c r="A569" s="56">
        <f t="shared" si="8"/>
        <v>551</v>
      </c>
      <c r="B569" s="57" cm="1">
        <f t="array" ref="B569:F569">runReactor(B568:F568,$B$2,$B$3,A568,A569,$B$8)</f>
        <v>256577.57618127528</v>
      </c>
      <c r="C569" s="57">
        <v>5.075842341122172</v>
      </c>
      <c r="D569" s="57">
        <v>1.0673470155002527E-2</v>
      </c>
      <c r="E569" s="57">
        <v>250.98094528705013</v>
      </c>
      <c r="F569" s="58">
        <v>11446285.716811631</v>
      </c>
    </row>
    <row r="570" spans="1:6" ht="16.5" customHeight="1">
      <c r="A570" s="56">
        <f t="shared" si="8"/>
        <v>552</v>
      </c>
      <c r="B570" s="57" cm="1">
        <f t="array" ref="B570:F570">runReactor(B569:F569,$B$2,$B$3,A569,A570,$B$8)</f>
        <v>257043.73960322412</v>
      </c>
      <c r="C570" s="57">
        <v>5.0666369000634308</v>
      </c>
      <c r="D570" s="57">
        <v>1.0673659769539504E-2</v>
      </c>
      <c r="E570" s="57">
        <v>250.98547061161085</v>
      </c>
      <c r="F570" s="58">
        <v>11446285.462268714</v>
      </c>
    </row>
    <row r="571" spans="1:6" ht="16.5" customHeight="1">
      <c r="A571" s="56">
        <f t="shared" si="8"/>
        <v>553</v>
      </c>
      <c r="B571" s="57" cm="1">
        <f t="array" ref="B571:F571">runReactor(B570:F570,$B$2,$B$3,A570,A571,$B$8)</f>
        <v>257509.90302517297</v>
      </c>
      <c r="C571" s="57">
        <v>5.0574647881512806</v>
      </c>
      <c r="D571" s="57">
        <v>1.0673848700331929E-2</v>
      </c>
      <c r="E571" s="57">
        <v>250.98997955181812</v>
      </c>
      <c r="F571" s="58">
        <v>11446285.208653102</v>
      </c>
    </row>
    <row r="572" spans="1:6" ht="16.5" customHeight="1">
      <c r="A572" s="56">
        <f t="shared" si="8"/>
        <v>554</v>
      </c>
      <c r="B572" s="57" cm="1">
        <f t="array" ref="B572:F572">runReactor(B571:F571,$B$2,$B$3,A571,A572,$B$8)</f>
        <v>257976.06644712182</v>
      </c>
      <c r="C572" s="57">
        <v>5.0483258247059304</v>
      </c>
      <c r="D572" s="57">
        <v>1.0674036951071653E-2</v>
      </c>
      <c r="E572" s="57">
        <v>250.99447219649278</v>
      </c>
      <c r="F572" s="58">
        <v>11446284.95595973</v>
      </c>
    </row>
    <row r="573" spans="1:6" ht="16.5" customHeight="1">
      <c r="A573" s="56">
        <f t="shared" si="8"/>
        <v>555</v>
      </c>
      <c r="B573" s="57" cm="1">
        <f t="array" ref="B573:F573">runReactor(B572:F572,$B$2,$B$3,A572,A573,$B$8)</f>
        <v>258442.22986907067</v>
      </c>
      <c r="C573" s="57">
        <v>5.0392198303512012</v>
      </c>
      <c r="D573" s="57">
        <v>1.0674224525423982E-2</v>
      </c>
      <c r="E573" s="57">
        <v>250.99894863381479</v>
      </c>
      <c r="F573" s="58">
        <v>11446284.704183564</v>
      </c>
    </row>
    <row r="574" spans="1:6" ht="16.5" customHeight="1">
      <c r="A574" s="56">
        <f t="shared" si="8"/>
        <v>556</v>
      </c>
      <c r="B574" s="57" cm="1">
        <f t="array" ref="B574:F574">runReactor(B573:F573,$B$2,$B$3,A573,A574,$B$8)</f>
        <v>258908.39329101951</v>
      </c>
      <c r="C574" s="57">
        <v>5.0301466270027957</v>
      </c>
      <c r="D574" s="57">
        <v>1.0674411427027609E-2</v>
      </c>
      <c r="E574" s="57">
        <v>251.00340895132877</v>
      </c>
      <c r="F574" s="58">
        <v>11446284.453319624</v>
      </c>
    </row>
    <row r="575" spans="1:6" ht="16.5" customHeight="1">
      <c r="A575" s="56">
        <f t="shared" si="8"/>
        <v>557</v>
      </c>
      <c r="B575" s="57" cm="1">
        <f t="array" ref="B575:F575">runReactor(B574:F574,$B$2,$B$3,A574,A575,$B$8)</f>
        <v>259374.55671296836</v>
      </c>
      <c r="C575" s="57">
        <v>5.0211060378566845</v>
      </c>
      <c r="D575" s="57">
        <v>1.0674597659495813E-2</v>
      </c>
      <c r="E575" s="57">
        <v>251.00785323595056</v>
      </c>
      <c r="F575" s="58">
        <v>11446284.203362968</v>
      </c>
    </row>
    <row r="576" spans="1:6" ht="16.5" customHeight="1">
      <c r="A576" s="56">
        <f t="shared" si="8"/>
        <v>558</v>
      </c>
      <c r="B576" s="57" cm="1">
        <f t="array" ref="B576:F576">runReactor(B575:F575,$B$2,$B$3,A575,A576,$B$8)</f>
        <v>259840.72013491721</v>
      </c>
      <c r="C576" s="57">
        <v>5.0120978873776325</v>
      </c>
      <c r="D576" s="57">
        <v>1.0674783226415081E-2</v>
      </c>
      <c r="E576" s="57">
        <v>251.01228157397188</v>
      </c>
      <c r="F576" s="58">
        <v>11446283.954308674</v>
      </c>
    </row>
    <row r="577" spans="1:6" ht="16.5" customHeight="1">
      <c r="A577" s="56">
        <f t="shared" si="8"/>
        <v>559</v>
      </c>
      <c r="B577" s="57" cm="1">
        <f t="array" ref="B577:F577">runReactor(B576:F576,$B$2,$B$3,A576,A577,$B$8)</f>
        <v>260306.88355686606</v>
      </c>
      <c r="C577" s="57">
        <v>5.0031220012878217</v>
      </c>
      <c r="D577" s="57">
        <v>1.0674968131346661E-2</v>
      </c>
      <c r="E577" s="57">
        <v>251.01669405106608</v>
      </c>
      <c r="F577" s="58">
        <v>11446283.706151851</v>
      </c>
    </row>
    <row r="578" spans="1:6" ht="16.5" customHeight="1">
      <c r="A578" s="56">
        <f t="shared" si="8"/>
        <v>560</v>
      </c>
      <c r="B578" s="57" cm="1">
        <f t="array" ref="B578:F578">runReactor(B577:F577,$B$2,$B$3,A577,A578,$B$8)</f>
        <v>260773.04697881491</v>
      </c>
      <c r="C578" s="57">
        <v>4.9941782065556177</v>
      </c>
      <c r="D578" s="57">
        <v>1.0675152377827095E-2</v>
      </c>
      <c r="E578" s="57">
        <v>251.02109075229453</v>
      </c>
      <c r="F578" s="58">
        <v>11446283.45888768</v>
      </c>
    </row>
    <row r="579" spans="1:6" ht="16.5" customHeight="1">
      <c r="A579" s="56">
        <f t="shared" si="8"/>
        <v>561</v>
      </c>
      <c r="B579" s="57" cm="1">
        <f t="array" ref="B579:F579">runReactor(B578:F578,$B$2,$B$3,A578,A579,$B$8)</f>
        <v>261239.21040076375</v>
      </c>
      <c r="C579" s="57">
        <v>4.9852663313844632</v>
      </c>
      <c r="D579" s="57">
        <v>1.0675335969367317E-2</v>
      </c>
      <c r="E579" s="57">
        <v>251.02547176211115</v>
      </c>
      <c r="F579" s="58">
        <v>11446283.21251134</v>
      </c>
    </row>
    <row r="580" spans="1:6" ht="16.5" customHeight="1">
      <c r="A580" s="56">
        <f t="shared" si="8"/>
        <v>562</v>
      </c>
      <c r="B580" s="57" cm="1">
        <f t="array" ref="B580:F580">runReactor(B579:F579,$B$2,$B$3,A579,A580,$B$8)</f>
        <v>261705.3738227126</v>
      </c>
      <c r="C580" s="57">
        <v>4.9763862052018553</v>
      </c>
      <c r="D580" s="57">
        <v>1.067551890945365E-2</v>
      </c>
      <c r="E580" s="57">
        <v>251.02983716436782</v>
      </c>
      <c r="F580" s="58">
        <v>11446282.96701807</v>
      </c>
    </row>
    <row r="581" spans="1:6" ht="16.5" customHeight="1">
      <c r="A581" s="56">
        <f t="shared" si="8"/>
        <v>563</v>
      </c>
      <c r="B581" s="57" cm="1">
        <f t="array" ref="B581:F581">runReactor(B580:F580,$B$2,$B$3,A580,A581,$B$8)</f>
        <v>262171.53724466148</v>
      </c>
      <c r="C581" s="57">
        <v>4.9675376586484914</v>
      </c>
      <c r="D581" s="57">
        <v>1.0675701201547075E-2</v>
      </c>
      <c r="E581" s="57">
        <v>251.03418704232027</v>
      </c>
      <c r="F581" s="58">
        <v>11446282.722403117</v>
      </c>
    </row>
    <row r="582" spans="1:6" ht="16.5" customHeight="1">
      <c r="A582" s="56">
        <f t="shared" si="8"/>
        <v>564</v>
      </c>
      <c r="B582" s="57" cm="1">
        <f t="array" ref="B582:F582">runReactor(B581:F581,$B$2,$B$3,A581,A582,$B$8)</f>
        <v>262637.70066661033</v>
      </c>
      <c r="C582" s="57">
        <v>4.9587205235674805</v>
      </c>
      <c r="D582" s="57">
        <v>1.0675882849084217E-2</v>
      </c>
      <c r="E582" s="57">
        <v>251.03852147863336</v>
      </c>
      <c r="F582" s="58">
        <v>11446282.478661785</v>
      </c>
    </row>
    <row r="583" spans="1:6" ht="16.5" customHeight="1">
      <c r="A583" s="56">
        <f t="shared" si="8"/>
        <v>565</v>
      </c>
      <c r="B583" s="57" cm="1">
        <f t="array" ref="B583:F583">runReactor(B582:F582,$B$2,$B$3,A582,A583,$B$8)</f>
        <v>263103.86408855917</v>
      </c>
      <c r="C583" s="57">
        <v>4.9499346329936929</v>
      </c>
      <c r="D583" s="57">
        <v>1.0676063855477699E-2</v>
      </c>
      <c r="E583" s="57">
        <v>251.0428405553856</v>
      </c>
      <c r="F583" s="58">
        <v>11446282.235789396</v>
      </c>
    </row>
    <row r="584" spans="1:6" ht="16.5" customHeight="1">
      <c r="A584" s="56">
        <f t="shared" si="8"/>
        <v>566</v>
      </c>
      <c r="B584" s="57" cm="1">
        <f t="array" ref="B584:F584">runReactor(B583:F583,$B$2,$B$3,A583,A584,$B$8)</f>
        <v>263570.02751050802</v>
      </c>
      <c r="C584" s="57">
        <v>4.9411798211432325</v>
      </c>
      <c r="D584" s="57">
        <v>1.0676244224116196E-2</v>
      </c>
      <c r="E584" s="57">
        <v>251.04714435407527</v>
      </c>
      <c r="F584" s="58">
        <v>11446281.993781315</v>
      </c>
    </row>
    <row r="585" spans="1:6" ht="16.5" customHeight="1">
      <c r="A585" s="56">
        <f t="shared" si="8"/>
        <v>567</v>
      </c>
      <c r="B585" s="57" cm="1">
        <f t="array" ref="B585:F585">runReactor(B584:F584,$B$2,$B$3,A584,A585,$B$8)</f>
        <v>264036.19093245687</v>
      </c>
      <c r="C585" s="57">
        <v>4.9324559234029923</v>
      </c>
      <c r="D585" s="57">
        <v>1.0676423958364432E-2</v>
      </c>
      <c r="E585" s="57">
        <v>251.05143295562482</v>
      </c>
      <c r="F585" s="58">
        <v>11446281.752632933</v>
      </c>
    </row>
    <row r="586" spans="1:6" ht="16.5" customHeight="1">
      <c r="A586" s="56">
        <f t="shared" si="8"/>
        <v>568</v>
      </c>
      <c r="B586" s="57" cm="1">
        <f t="array" ref="B586:F586">runReactor(B585:F585,$B$2,$B$3,A585,A586,$B$8)</f>
        <v>264502.35435440572</v>
      </c>
      <c r="C586" s="57">
        <v>4.9237627763203591</v>
      </c>
      <c r="D586" s="57">
        <v>1.0676603061563393E-2</v>
      </c>
      <c r="E586" s="57">
        <v>251.05570644038642</v>
      </c>
      <c r="F586" s="58">
        <v>11446281.512339674</v>
      </c>
    </row>
    <row r="587" spans="1:6" ht="16.5" customHeight="1">
      <c r="A587" s="56">
        <f t="shared" si="8"/>
        <v>569</v>
      </c>
      <c r="B587" s="57" cm="1">
        <f t="array" ref="B587:F587">runReactor(B586:F586,$B$2,$B$3,A586,A587,$B$8)</f>
        <v>264968.51777635457</v>
      </c>
      <c r="C587" s="57">
        <v>4.9151002175929852</v>
      </c>
      <c r="D587" s="57">
        <v>1.0676781537031011E-2</v>
      </c>
      <c r="E587" s="57">
        <v>251.05996488814654</v>
      </c>
      <c r="F587" s="58">
        <v>11446281.272896994</v>
      </c>
    </row>
    <row r="588" spans="1:6" ht="16.5" customHeight="1">
      <c r="A588" s="56">
        <f t="shared" si="8"/>
        <v>570</v>
      </c>
      <c r="B588" s="57" cm="1">
        <f t="array" ref="B588:F588">runReactor(B587:F587,$B$2,$B$3,A587,A588,$B$8)</f>
        <v>265434.68119830341</v>
      </c>
      <c r="C588" s="57">
        <v>4.9064680860586973</v>
      </c>
      <c r="D588" s="57">
        <v>1.0676959388061293E-2</v>
      </c>
      <c r="E588" s="57">
        <v>251.06420837813133</v>
      </c>
      <c r="F588" s="58">
        <v>11446281.034300398</v>
      </c>
    </row>
    <row r="589" spans="1:6" ht="16.5" customHeight="1">
      <c r="A589" s="56">
        <f t="shared" si="8"/>
        <v>571</v>
      </c>
      <c r="B589" s="57" cm="1">
        <f t="array" ref="B589:F589">runReactor(B588:F588,$B$2,$B$3,A588,A589,$B$8)</f>
        <v>265900.84462025226</v>
      </c>
      <c r="C589" s="57">
        <v>4.8978662216855051</v>
      </c>
      <c r="D589" s="57">
        <v>1.0677136617925624E-2</v>
      </c>
      <c r="E589" s="57">
        <v>251.06843698901125</v>
      </c>
      <c r="F589" s="58">
        <v>11446280.796545392</v>
      </c>
    </row>
    <row r="590" spans="1:6" ht="16.5" customHeight="1">
      <c r="A590" s="56">
        <f t="shared" si="8"/>
        <v>572</v>
      </c>
      <c r="B590" s="57" cm="1">
        <f t="array" ref="B590:F590">runReactor(B589:F589,$B$2,$B$3,A589,A590,$B$8)</f>
        <v>266367.00804220111</v>
      </c>
      <c r="C590" s="57">
        <v>4.8892944655616928</v>
      </c>
      <c r="D590" s="57">
        <v>1.067731322987259E-2</v>
      </c>
      <c r="E590" s="57">
        <v>251.07265079890612</v>
      </c>
      <c r="F590" s="58">
        <v>11446280.559627544</v>
      </c>
    </row>
    <row r="591" spans="1:6" ht="16.5" customHeight="1">
      <c r="A591" s="56">
        <f t="shared" si="8"/>
        <v>573</v>
      </c>
      <c r="B591" s="57" cm="1">
        <f t="array" ref="B591:F591">runReactor(B590:F590,$B$2,$B$3,A590,A591,$B$8)</f>
        <v>266833.17146414996</v>
      </c>
      <c r="C591" s="57">
        <v>4.8807526598860589</v>
      </c>
      <c r="D591" s="57">
        <v>1.0677489227128774E-2</v>
      </c>
      <c r="E591" s="57">
        <v>251.07684988538978</v>
      </c>
      <c r="F591" s="58">
        <v>11446280.323542431</v>
      </c>
    </row>
    <row r="592" spans="1:6" ht="16.5" customHeight="1">
      <c r="A592" s="56">
        <f t="shared" si="8"/>
        <v>574</v>
      </c>
      <c r="B592" s="57" cm="1">
        <f t="array" ref="B592:F592">runReactor(B591:F591,$B$2,$B$3,A591,A592,$B$8)</f>
        <v>267299.3348860988</v>
      </c>
      <c r="C592" s="57">
        <v>4.8722406479582228</v>
      </c>
      <c r="D592" s="57">
        <v>1.0677664612897392E-2</v>
      </c>
      <c r="E592" s="57">
        <v>251.08103432549493</v>
      </c>
      <c r="F592" s="58">
        <v>11446280.088285677</v>
      </c>
    </row>
    <row r="593" spans="1:6" ht="16.5" customHeight="1">
      <c r="A593" s="56">
        <f t="shared" si="8"/>
        <v>575</v>
      </c>
      <c r="B593" s="57" cm="1">
        <f t="array" ref="B593:F593">runReactor(B592:F592,$B$2,$B$3,A592,A593,$B$8)</f>
        <v>267765.49830804765</v>
      </c>
      <c r="C593" s="57">
        <v>4.8637582741690242</v>
      </c>
      <c r="D593" s="57">
        <v>1.0677839390359694E-2</v>
      </c>
      <c r="E593" s="57">
        <v>251.08520419571775</v>
      </c>
      <c r="F593" s="58">
        <v>11446279.853852924</v>
      </c>
    </row>
    <row r="594" spans="1:6" ht="16.5" customHeight="1">
      <c r="A594" s="56">
        <f t="shared" si="8"/>
        <v>576</v>
      </c>
      <c r="B594" s="57" cm="1">
        <f t="array" ref="B594:F594">runReactor(B593:F593,$B$2,$B$3,A593,A594,$B$8)</f>
        <v>268231.6617299965</v>
      </c>
      <c r="C594" s="57">
        <v>4.8553053839910749</v>
      </c>
      <c r="D594" s="57">
        <v>1.0678013562675368E-2</v>
      </c>
      <c r="E594" s="57">
        <v>251.08935957202289</v>
      </c>
      <c r="F594" s="58">
        <v>11446279.620239845</v>
      </c>
    </row>
    <row r="595" spans="1:6" ht="16.5" customHeight="1">
      <c r="A595" s="56">
        <f t="shared" si="8"/>
        <v>577</v>
      </c>
      <c r="B595" s="57" cm="1">
        <f t="array" ref="B595:F595">runReactor(B594:F594,$B$2,$B$3,A594,A595,$B$8)</f>
        <v>268697.82515194535</v>
      </c>
      <c r="C595" s="57">
        <v>4.8468818239693503</v>
      </c>
      <c r="D595" s="57">
        <v>1.06781871329816E-2</v>
      </c>
      <c r="E595" s="57">
        <v>251.09350052984749</v>
      </c>
      <c r="F595" s="58">
        <v>11446279.387442159</v>
      </c>
    </row>
    <row r="596" spans="1:6" ht="16.5" customHeight="1">
      <c r="A596" s="56">
        <f t="shared" ref="A596:A659" si="9">A595+1</f>
        <v>578</v>
      </c>
      <c r="B596" s="57" cm="1">
        <f t="array" ref="B596:F596">runReactor(B595:F595,$B$2,$B$3,A595,A596,$B$8)</f>
        <v>269163.9885738942</v>
      </c>
      <c r="C596" s="57">
        <v>4.8384874417119068</v>
      </c>
      <c r="D596" s="57">
        <v>1.0678360104394227E-2</v>
      </c>
      <c r="E596" s="57">
        <v>251.09762714410638</v>
      </c>
      <c r="F596" s="58">
        <v>11446279.155455599</v>
      </c>
    </row>
    <row r="597" spans="1:6" ht="16.5" customHeight="1">
      <c r="A597" s="56">
        <f t="shared" si="9"/>
        <v>579</v>
      </c>
      <c r="B597" s="57" cm="1">
        <f t="array" ref="B597:F597">runReactor(B596:F596,$B$2,$B$3,A596,A597,$B$8)</f>
        <v>269630.15199584304</v>
      </c>
      <c r="C597" s="57">
        <v>4.830122085880693</v>
      </c>
      <c r="D597" s="57">
        <v>1.0678532480007849E-2</v>
      </c>
      <c r="E597" s="57">
        <v>251.10173948919615</v>
      </c>
      <c r="F597" s="58">
        <v>11446278.924275937</v>
      </c>
    </row>
    <row r="598" spans="1:6" ht="16.5" customHeight="1">
      <c r="A598" s="56">
        <f t="shared" si="9"/>
        <v>580</v>
      </c>
      <c r="B598" s="57" cm="1">
        <f t="array" ref="B598:F598">runReactor(B597:F597,$B$2,$B$3,A597,A598,$B$8)</f>
        <v>270096.31541779189</v>
      </c>
      <c r="C598" s="57">
        <v>4.8217856061824751</v>
      </c>
      <c r="D598" s="57">
        <v>1.0678704262894755E-2</v>
      </c>
      <c r="E598" s="57">
        <v>251.10583763899999</v>
      </c>
      <c r="F598" s="58">
        <v>11446278.693898974</v>
      </c>
    </row>
    <row r="599" spans="1:6" ht="16.5" customHeight="1">
      <c r="A599" s="56">
        <f t="shared" si="9"/>
        <v>581</v>
      </c>
      <c r="B599" s="57" cm="1">
        <f t="array" ref="B599:F599">runReactor(B598:F598,$B$2,$B$3,A598,A599,$B$8)</f>
        <v>270562.47883974074</v>
      </c>
      <c r="C599" s="57">
        <v>4.8134778533597862</v>
      </c>
      <c r="D599" s="57">
        <v>1.0678875456107295E-2</v>
      </c>
      <c r="E599" s="57">
        <v>251.10992166689141</v>
      </c>
      <c r="F599" s="58">
        <v>11446278.464320529</v>
      </c>
    </row>
    <row r="600" spans="1:6" ht="16.5" customHeight="1">
      <c r="A600" s="56">
        <f t="shared" si="9"/>
        <v>582</v>
      </c>
      <c r="B600" s="57" cm="1">
        <f t="array" ref="B600:F600">runReactor(B599:F599,$B$2,$B$3,A599,A600,$B$8)</f>
        <v>271028.64226168959</v>
      </c>
      <c r="C600" s="57">
        <v>4.8051986791820704</v>
      </c>
      <c r="D600" s="57">
        <v>1.0679046062676717E-2</v>
      </c>
      <c r="E600" s="57">
        <v>251.11399164573967</v>
      </c>
      <c r="F600" s="58">
        <v>11446278.235536449</v>
      </c>
    </row>
    <row r="601" spans="1:6" ht="16.5" customHeight="1">
      <c r="A601" s="56">
        <f t="shared" si="9"/>
        <v>583</v>
      </c>
      <c r="B601" s="57" cm="1">
        <f t="array" ref="B601:F601">runReactor(B600:F600,$B$2,$B$3,A600,A601,$B$8)</f>
        <v>271494.80568363843</v>
      </c>
      <c r="C601" s="57">
        <v>4.7969479364368413</v>
      </c>
      <c r="D601" s="57">
        <v>1.067921608561374E-2</v>
      </c>
      <c r="E601" s="57">
        <v>251.1180476479131</v>
      </c>
      <c r="F601" s="58">
        <v>11446278.007542631</v>
      </c>
    </row>
    <row r="602" spans="1:6" ht="16.5" customHeight="1">
      <c r="A602" s="56">
        <f t="shared" si="9"/>
        <v>584</v>
      </c>
      <c r="B602" s="57" cm="1">
        <f t="array" ref="B602:F602">runReactor(B601:F601,$B$2,$B$3,A601,A602,$B$8)</f>
        <v>271960.96910558728</v>
      </c>
      <c r="C602" s="57">
        <v>4.7887254789209672</v>
      </c>
      <c r="D602" s="57">
        <v>1.067938552790774E-2</v>
      </c>
      <c r="E602" s="57">
        <v>251.12208974528406</v>
      </c>
      <c r="F602" s="58">
        <v>11446277.780334977</v>
      </c>
    </row>
    <row r="603" spans="1:6" ht="16.5" customHeight="1">
      <c r="A603" s="56">
        <f t="shared" si="9"/>
        <v>585</v>
      </c>
      <c r="B603" s="57" cm="1">
        <f t="array" ref="B603:F603">runReactor(B602:F602,$B$2,$B$3,A602,A603,$B$8)</f>
        <v>272427.13252753613</v>
      </c>
      <c r="C603" s="57">
        <v>4.7805311614320223</v>
      </c>
      <c r="D603" s="57">
        <v>1.0679554392528164E-2</v>
      </c>
      <c r="E603" s="57">
        <v>251.12611800923321</v>
      </c>
      <c r="F603" s="58">
        <v>11446277.553909427</v>
      </c>
    </row>
    <row r="604" spans="1:6" ht="16.5" customHeight="1">
      <c r="A604" s="56">
        <f t="shared" si="9"/>
        <v>586</v>
      </c>
      <c r="B604" s="57" cm="1">
        <f t="array" ref="B604:F604">runReactor(B603:F603,$B$2,$B$3,A603,A604,$B$8)</f>
        <v>272893.29594948498</v>
      </c>
      <c r="C604" s="57">
        <v>4.7723648397597485</v>
      </c>
      <c r="D604" s="57">
        <v>1.067972268242416E-2</v>
      </c>
      <c r="E604" s="57">
        <v>251.13013251065297</v>
      </c>
      <c r="F604" s="58">
        <v>11446277.328261968</v>
      </c>
    </row>
    <row r="605" spans="1:6" ht="16.5" customHeight="1">
      <c r="A605" s="56">
        <f t="shared" si="9"/>
        <v>587</v>
      </c>
      <c r="B605" s="57" cm="1">
        <f t="array" ref="B605:F605">runReactor(B604:F604,$B$2,$B$3,A604,A605,$B$8)</f>
        <v>273359.45937143383</v>
      </c>
      <c r="C605" s="57">
        <v>4.7642263706776005</v>
      </c>
      <c r="D605" s="57">
        <v>1.0679890400524585E-2</v>
      </c>
      <c r="E605" s="57">
        <v>251.1341333199523</v>
      </c>
      <c r="F605" s="58">
        <v>11446277.10338858</v>
      </c>
    </row>
    <row r="606" spans="1:6" ht="16.5" customHeight="1">
      <c r="A606" s="56">
        <f t="shared" si="9"/>
        <v>588</v>
      </c>
      <c r="B606" s="57" cm="1">
        <f t="array" ref="B606:F606">runReactor(B605:F605,$B$2,$B$3,A605,A606,$B$8)</f>
        <v>273825.62279338267</v>
      </c>
      <c r="C606" s="57">
        <v>4.7561156119343497</v>
      </c>
      <c r="D606" s="57">
        <v>1.0680057549738812E-2</v>
      </c>
      <c r="E606" s="57">
        <v>251.13812050706093</v>
      </c>
      <c r="F606" s="58">
        <v>11446276.879285293</v>
      </c>
    </row>
    <row r="607" spans="1:6" ht="16.5" customHeight="1">
      <c r="A607" s="56">
        <f t="shared" si="9"/>
        <v>589</v>
      </c>
      <c r="B607" s="57" cm="1">
        <f t="array" ref="B607:F607">runReactor(B606:F606,$B$2,$B$3,A606,A607,$B$8)</f>
        <v>274291.78621533152</v>
      </c>
      <c r="C607" s="57">
        <v>4.7480324222458288</v>
      </c>
      <c r="D607" s="57">
        <v>1.0680224132956613E-2</v>
      </c>
      <c r="E607" s="57">
        <v>251.14209414143323</v>
      </c>
      <c r="F607" s="58">
        <v>11446276.655948149</v>
      </c>
    </row>
    <row r="608" spans="1:6" ht="16.5" customHeight="1">
      <c r="A608" s="56">
        <f t="shared" si="9"/>
        <v>590</v>
      </c>
      <c r="B608" s="57" cm="1">
        <f t="array" ref="B608:F608">runReactor(B607:F607,$B$2,$B$3,A607,A608,$B$8)</f>
        <v>274757.94963728037</v>
      </c>
      <c r="C608" s="57">
        <v>4.7399766612867014</v>
      </c>
      <c r="D608" s="57">
        <v>1.0680390153047645E-2</v>
      </c>
      <c r="E608" s="57">
        <v>251.14605429205201</v>
      </c>
      <c r="F608" s="58">
        <v>11446276.433373233</v>
      </c>
    </row>
    <row r="609" spans="1:6" ht="16.5" customHeight="1">
      <c r="A609" s="56">
        <f t="shared" si="9"/>
        <v>591</v>
      </c>
      <c r="B609" s="57" cm="1">
        <f t="array" ref="B609:F609">runReactor(B608:F608,$B$2,$B$3,A608,A609,$B$8)</f>
        <v>275224.11305922922</v>
      </c>
      <c r="C609" s="57">
        <v>4.7319481896823525</v>
      </c>
      <c r="D609" s="57">
        <v>1.0680555612863232E-2</v>
      </c>
      <c r="E609" s="57">
        <v>251.15000102743272</v>
      </c>
      <c r="F609" s="58">
        <v>11446276.211556638</v>
      </c>
    </row>
    <row r="610" spans="1:6" ht="16.5" customHeight="1">
      <c r="A610" s="56">
        <f t="shared" si="9"/>
        <v>592</v>
      </c>
      <c r="B610" s="57" cm="1">
        <f t="array" ref="B610:F610">runReactor(B609:F609,$B$2,$B$3,A609,A610,$B$8)</f>
        <v>275690.27648117807</v>
      </c>
      <c r="C610" s="57">
        <v>4.7239468690008524</v>
      </c>
      <c r="D610" s="57">
        <v>1.0680720515234393E-2</v>
      </c>
      <c r="E610" s="57">
        <v>251.15393441562739</v>
      </c>
      <c r="F610" s="58">
        <v>11446275.990494499</v>
      </c>
    </row>
    <row r="611" spans="1:6" ht="16.5" customHeight="1">
      <c r="A611" s="56">
        <f t="shared" si="9"/>
        <v>593</v>
      </c>
      <c r="B611" s="57" cm="1">
        <f t="array" ref="B611:F611">runReactor(B610:F610,$B$2,$B$3,A610,A611,$B$8)</f>
        <v>276156.43990312691</v>
      </c>
      <c r="C611" s="57">
        <v>4.7159725617450015</v>
      </c>
      <c r="D611" s="57">
        <v>1.0680884862973462E-2</v>
      </c>
      <c r="E611" s="57">
        <v>251.15785452422833</v>
      </c>
      <c r="F611" s="58">
        <v>11446275.77018298</v>
      </c>
    </row>
    <row r="612" spans="1:6" ht="16.5" customHeight="1">
      <c r="A612" s="56">
        <f t="shared" si="9"/>
        <v>594</v>
      </c>
      <c r="B612" s="57" cm="1">
        <f t="array" ref="B612:F612">runReactor(B611:F611,$B$2,$B$3,A611,A612,$B$8)</f>
        <v>276622.60332507576</v>
      </c>
      <c r="C612" s="57">
        <v>4.708025131344443</v>
      </c>
      <c r="D612" s="57">
        <v>1.0681048658873565E-2</v>
      </c>
      <c r="E612" s="57">
        <v>251.16176142037307</v>
      </c>
      <c r="F612" s="58">
        <v>11446275.550618261</v>
      </c>
    </row>
    <row r="613" spans="1:6" ht="16.5" customHeight="1">
      <c r="A613" s="56">
        <f t="shared" si="9"/>
        <v>595</v>
      </c>
      <c r="B613" s="57" cm="1">
        <f t="array" ref="B613:F613">runReactor(B612:F612,$B$2,$B$3,A612,A613,$B$8)</f>
        <v>277088.76674702461</v>
      </c>
      <c r="C613" s="57">
        <v>4.7001044421478735</v>
      </c>
      <c r="D613" s="57">
        <v>1.0681211905709814E-2</v>
      </c>
      <c r="E613" s="57">
        <v>251.16565517074631</v>
      </c>
      <c r="F613" s="58">
        <v>11446275.331796542</v>
      </c>
    </row>
    <row r="614" spans="1:6" ht="16.5" customHeight="1">
      <c r="A614" s="56">
        <f t="shared" si="9"/>
        <v>596</v>
      </c>
      <c r="B614" s="57" cm="1">
        <f t="array" ref="B614:F614">runReactor(B613:F613,$B$2,$B$3,A613,A614,$B$8)</f>
        <v>277554.93016897346</v>
      </c>
      <c r="C614" s="57">
        <v>4.6922103594153253</v>
      </c>
      <c r="D614" s="57">
        <v>1.0681374606238374E-2</v>
      </c>
      <c r="E614" s="57">
        <v>251.16953584158529</v>
      </c>
      <c r="F614" s="58">
        <v>11446275.113714077</v>
      </c>
    </row>
    <row r="615" spans="1:6" ht="16.5" customHeight="1">
      <c r="A615" s="56">
        <f t="shared" si="9"/>
        <v>597</v>
      </c>
      <c r="B615" s="57" cm="1">
        <f t="array" ref="B615:F615">runReactor(B614:F614,$B$2,$B$3,A614,A615,$B$8)</f>
        <v>278021.0935909223</v>
      </c>
      <c r="C615" s="57">
        <v>4.6843427493105283</v>
      </c>
      <c r="D615" s="57">
        <v>1.0681536763197549E-2</v>
      </c>
      <c r="E615" s="57">
        <v>251.17340349868286</v>
      </c>
      <c r="F615" s="58">
        <v>11446274.896367108</v>
      </c>
    </row>
    <row r="616" spans="1:6" ht="16.5" customHeight="1">
      <c r="A616" s="56">
        <f t="shared" si="9"/>
        <v>598</v>
      </c>
      <c r="B616" s="57" cm="1">
        <f t="array" ref="B616:F616">runReactor(B615:F615,$B$2,$B$3,A615,A616,$B$8)</f>
        <v>278487.25701287115</v>
      </c>
      <c r="C616" s="57">
        <v>4.6765014788933419</v>
      </c>
      <c r="D616" s="57">
        <v>1.0681698379306511E-2</v>
      </c>
      <c r="E616" s="57">
        <v>251.17725820739142</v>
      </c>
      <c r="F616" s="58">
        <v>11446274.679751938</v>
      </c>
    </row>
    <row r="617" spans="1:6" ht="16.5" customHeight="1">
      <c r="A617" s="56">
        <f t="shared" si="9"/>
        <v>599</v>
      </c>
      <c r="B617" s="57" cm="1">
        <f t="array" ref="B617:F617">runReactor(B616:F616,$B$2,$B$3,A616,A617,$B$8)</f>
        <v>278953.42043482</v>
      </c>
      <c r="C617" s="57">
        <v>4.668686416112279</v>
      </c>
      <c r="D617" s="57">
        <v>1.0681859457266338E-2</v>
      </c>
      <c r="E617" s="57">
        <v>251.18110003262669</v>
      </c>
      <c r="F617" s="58">
        <v>11446274.463864861</v>
      </c>
    </row>
    <row r="618" spans="1:6" ht="16.5" customHeight="1">
      <c r="A618" s="56">
        <f t="shared" si="9"/>
        <v>600</v>
      </c>
      <c r="B618" s="57" cm="1">
        <f t="array" ref="B618:F618">runReactor(B617:F617,$B$2,$B$3,A617,A618,$B$8)</f>
        <v>279419.58385676885</v>
      </c>
      <c r="C618" s="57">
        <v>4.6608974297970569</v>
      </c>
      <c r="D618" s="57">
        <v>1.0682019999760796E-2</v>
      </c>
      <c r="E618" s="57">
        <v>251.18492903887062</v>
      </c>
      <c r="F618" s="58">
        <v>11446274.248702195</v>
      </c>
    </row>
    <row r="619" spans="1:6" ht="16.5" customHeight="1">
      <c r="A619" s="56">
        <f t="shared" si="9"/>
        <v>601</v>
      </c>
      <c r="B619" s="57" cm="1">
        <f t="array" ref="B619:F619">runReactor(B618:F618,$B$2,$B$3,A618,A619,$B$8)</f>
        <v>279885.7472787177</v>
      </c>
      <c r="C619" s="57">
        <v>4.6531343896513144</v>
      </c>
      <c r="D619" s="57">
        <v>1.0682180009455797E-2</v>
      </c>
      <c r="E619" s="57">
        <v>251.18874529017597</v>
      </c>
      <c r="F619" s="58">
        <v>11446274.03426034</v>
      </c>
    </row>
    <row r="620" spans="1:6" ht="16.5" customHeight="1">
      <c r="A620" s="56">
        <f t="shared" si="9"/>
        <v>602</v>
      </c>
      <c r="B620" s="57" cm="1">
        <f t="array" ref="B620:F620">runReactor(B619:F619,$B$2,$B$3,A619,A620,$B$8)</f>
        <v>280351.91070066654</v>
      </c>
      <c r="C620" s="57">
        <v>4.6453971662453055</v>
      </c>
      <c r="D620" s="57">
        <v>1.0682339488998957E-2</v>
      </c>
      <c r="E620" s="57">
        <v>251.19254885016974</v>
      </c>
      <c r="F620" s="58">
        <v>11446273.820535662</v>
      </c>
    </row>
    <row r="621" spans="1:6" ht="16.5" customHeight="1">
      <c r="A621" s="56">
        <f t="shared" si="9"/>
        <v>603</v>
      </c>
      <c r="B621" s="57" cm="1">
        <f t="array" ref="B621:F621">runReactor(B620:F620,$B$2,$B$3,A620,A621,$B$8)</f>
        <v>280818.07412261539</v>
      </c>
      <c r="C621" s="57">
        <v>4.6376856310087131</v>
      </c>
      <c r="D621" s="57">
        <v>1.0682498441020557E-2</v>
      </c>
      <c r="E621" s="57">
        <v>251.19633978205579</v>
      </c>
      <c r="F621" s="58">
        <v>11446273.607524572</v>
      </c>
    </row>
    <row r="622" spans="1:6" ht="16.5" customHeight="1">
      <c r="A622" s="56">
        <f t="shared" si="9"/>
        <v>604</v>
      </c>
      <c r="B622" s="57" cm="1">
        <f t="array" ref="B622:F622">runReactor(B621:F621,$B$2,$B$3,A621,A622,$B$8)</f>
        <v>281284.23754456424</v>
      </c>
      <c r="C622" s="57">
        <v>4.6299996562235401</v>
      </c>
      <c r="D622" s="57">
        <v>1.0682656868133305E-2</v>
      </c>
      <c r="E622" s="57">
        <v>251.20011814861923</v>
      </c>
      <c r="F622" s="58">
        <v>11446273.395223491</v>
      </c>
    </row>
    <row r="623" spans="1:6" ht="16.5" customHeight="1">
      <c r="A623" s="56">
        <f t="shared" si="9"/>
        <v>605</v>
      </c>
      <c r="B623" s="57" cm="1">
        <f t="array" ref="B623:F623">runReactor(B622:F622,$B$2,$B$3,A622,A623,$B$8)</f>
        <v>281750.40096651309</v>
      </c>
      <c r="C623" s="57">
        <v>4.6223391150170343</v>
      </c>
      <c r="D623" s="57">
        <v>1.0682814772933836E-2</v>
      </c>
      <c r="E623" s="57">
        <v>251.20388401222991</v>
      </c>
      <c r="F623" s="58">
        <v>11446273.183628872</v>
      </c>
    </row>
    <row r="624" spans="1:6" ht="16.5" customHeight="1">
      <c r="A624" s="56">
        <f t="shared" si="9"/>
        <v>606</v>
      </c>
      <c r="B624" s="57" cm="1">
        <f t="array" ref="B624:F624">runReactor(B623:F623,$B$2,$B$3,A623,A624,$B$8)</f>
        <v>282216.56438846193</v>
      </c>
      <c r="C624" s="57">
        <v>4.6147038813547443</v>
      </c>
      <c r="D624" s="57">
        <v>1.068297215800054E-2</v>
      </c>
      <c r="E624" s="57">
        <v>251.20763743484545</v>
      </c>
      <c r="F624" s="58">
        <v>11446272.972737208</v>
      </c>
    </row>
    <row r="625" spans="1:6" ht="16.5" customHeight="1">
      <c r="A625" s="56">
        <f t="shared" si="9"/>
        <v>607</v>
      </c>
      <c r="B625" s="57" cm="1">
        <f t="array" ref="B625:F625">runReactor(B624:F624,$B$2,$B$3,A624,A625,$B$8)</f>
        <v>282682.72781041078</v>
      </c>
      <c r="C625" s="57">
        <v>4.607093830033568</v>
      </c>
      <c r="D625" s="57">
        <v>1.0683129025895511E-2</v>
      </c>
      <c r="E625" s="57">
        <v>251.2113784780145</v>
      </c>
      <c r="F625" s="58">
        <v>11446272.762545008</v>
      </c>
    </row>
    <row r="626" spans="1:6" ht="16.5" customHeight="1">
      <c r="A626" s="56">
        <f t="shared" si="9"/>
        <v>608</v>
      </c>
      <c r="B626" s="57" cm="1">
        <f t="array" ref="B626:F626">runReactor(B625:F625,$B$2,$B$3,A625,A626,$B$8)</f>
        <v>283148.89123235963</v>
      </c>
      <c r="C626" s="57">
        <v>4.599508836674941</v>
      </c>
      <c r="D626" s="57">
        <v>1.068328537916364E-2</v>
      </c>
      <c r="E626" s="57">
        <v>251.2151072028808</v>
      </c>
      <c r="F626" s="58">
        <v>11446272.553048786</v>
      </c>
    </row>
    <row r="627" spans="1:6" ht="16.5" customHeight="1">
      <c r="A627" s="56">
        <f t="shared" si="9"/>
        <v>609</v>
      </c>
      <c r="B627" s="57" cm="1">
        <f t="array" ref="B627:F627">runReactor(B626:F626,$B$2,$B$3,A626,A627,$B$8)</f>
        <v>283615.05465430848</v>
      </c>
      <c r="C627" s="57">
        <v>4.5919487777180379</v>
      </c>
      <c r="D627" s="57">
        <v>1.0683441220333153E-2</v>
      </c>
      <c r="E627" s="57">
        <v>251.21882367018611</v>
      </c>
      <c r="F627" s="58">
        <v>11446272.344245085</v>
      </c>
    </row>
    <row r="628" spans="1:6" ht="16.5" customHeight="1">
      <c r="A628" s="56">
        <f t="shared" si="9"/>
        <v>610</v>
      </c>
      <c r="B628" s="57" cm="1">
        <f t="array" ref="B628:F628">runReactor(B627:F627,$B$2,$B$3,A627,A628,$B$8)</f>
        <v>284081.21807625733</v>
      </c>
      <c r="C628" s="57">
        <v>4.5844135304130749</v>
      </c>
      <c r="D628" s="57">
        <v>1.0683596551916225E-2</v>
      </c>
      <c r="E628" s="57">
        <v>251.2225279402729</v>
      </c>
      <c r="F628" s="58">
        <v>11446272.136130482</v>
      </c>
    </row>
    <row r="629" spans="1:6" ht="16.5" customHeight="1">
      <c r="A629" s="56">
        <f t="shared" si="9"/>
        <v>611</v>
      </c>
      <c r="B629" s="57" cm="1">
        <f t="array" ref="B629:F629">runReactor(B628:F628,$B$2,$B$3,A628,A629,$B$8)</f>
        <v>284547.38149820617</v>
      </c>
      <c r="C629" s="57">
        <v>4.576902972814664</v>
      </c>
      <c r="D629" s="57">
        <v>1.0683751376407889E-2</v>
      </c>
      <c r="E629" s="57">
        <v>251.22622007308891</v>
      </c>
      <c r="F629" s="58">
        <v>11446271.928701563</v>
      </c>
    </row>
    <row r="630" spans="1:6" ht="16.5" customHeight="1">
      <c r="A630" s="56">
        <f t="shared" si="9"/>
        <v>612</v>
      </c>
      <c r="B630" s="57" cm="1">
        <f t="array" ref="B630:F630">runReactor(B629:F629,$B$2,$B$3,A629,A630,$B$8)</f>
        <v>285013.54492015502</v>
      </c>
      <c r="C630" s="57">
        <v>4.5694169837752332</v>
      </c>
      <c r="D630" s="57">
        <v>1.0683905696287433E-2</v>
      </c>
      <c r="E630" s="57">
        <v>251.22990012818903</v>
      </c>
      <c r="F630" s="58">
        <v>11446271.72195496</v>
      </c>
    </row>
    <row r="631" spans="1:6" ht="16.5" customHeight="1">
      <c r="A631" s="56">
        <f t="shared" si="9"/>
        <v>613</v>
      </c>
      <c r="B631" s="57" cm="1">
        <f t="array" ref="B631:F631">runReactor(B630:F630,$B$2,$B$3,A630,A631,$B$8)</f>
        <v>285479.70834210387</v>
      </c>
      <c r="C631" s="57">
        <v>4.5619554429385136</v>
      </c>
      <c r="D631" s="57">
        <v>1.0684059514017579E-2</v>
      </c>
      <c r="E631" s="57">
        <v>251.23356816473955</v>
      </c>
      <c r="F631" s="58">
        <v>11446271.515887305</v>
      </c>
    </row>
    <row r="632" spans="1:6" ht="16.5" customHeight="1">
      <c r="A632" s="56">
        <f t="shared" si="9"/>
        <v>614</v>
      </c>
      <c r="B632" s="57" cm="1">
        <f t="array" ref="B632:F632">runReactor(B631:F631,$B$2,$B$3,A631,A632,$B$8)</f>
        <v>285945.87176405272</v>
      </c>
      <c r="C632" s="57">
        <v>4.5545182307330832</v>
      </c>
      <c r="D632" s="57">
        <v>1.0684212832045299E-2</v>
      </c>
      <c r="E632" s="57">
        <v>251.23722424152112</v>
      </c>
      <c r="F632" s="58">
        <v>11446271.310495257</v>
      </c>
    </row>
    <row r="633" spans="1:6" ht="16.5" customHeight="1">
      <c r="A633" s="56">
        <f t="shared" si="9"/>
        <v>615</v>
      </c>
      <c r="B633" s="57" cm="1">
        <f t="array" ref="B633:F633">runReactor(B632:F632,$B$2,$B$3,A632,A633,$B$8)</f>
        <v>286412.03518600157</v>
      </c>
      <c r="C633" s="57">
        <v>4.5471052283659859</v>
      </c>
      <c r="D633" s="57">
        <v>1.0684365652802041E-2</v>
      </c>
      <c r="E633" s="57">
        <v>251.24086841693128</v>
      </c>
      <c r="F633" s="58">
        <v>11446271.105775498</v>
      </c>
    </row>
    <row r="634" spans="1:6" ht="16.5" customHeight="1">
      <c r="A634" s="56">
        <f t="shared" si="9"/>
        <v>616</v>
      </c>
      <c r="B634" s="57" cm="1">
        <f t="array" ref="B634:F634">runReactor(B633:F633,$B$2,$B$3,A633,A634,$B$8)</f>
        <v>286878.19860795041</v>
      </c>
      <c r="C634" s="57">
        <v>4.5397163178164099</v>
      </c>
      <c r="D634" s="57">
        <v>1.0684517978703534E-2</v>
      </c>
      <c r="E634" s="57">
        <v>251.24450074898792</v>
      </c>
      <c r="F634" s="58">
        <v>11446270.901724739</v>
      </c>
    </row>
    <row r="635" spans="1:6" ht="16.5" customHeight="1">
      <c r="A635" s="56">
        <f t="shared" si="9"/>
        <v>617</v>
      </c>
      <c r="B635" s="57" cm="1">
        <f t="array" ref="B635:F635">runReactor(B634:F634,$B$2,$B$3,A634,A635,$B$8)</f>
        <v>287344.36202989926</v>
      </c>
      <c r="C635" s="57">
        <v>4.5323513818294252</v>
      </c>
      <c r="D635" s="57">
        <v>1.0684669812149272E-2</v>
      </c>
      <c r="E635" s="57">
        <v>251.24812129533291</v>
      </c>
      <c r="F635" s="58">
        <v>11446270.69833968</v>
      </c>
    </row>
    <row r="636" spans="1:6" ht="16.5" customHeight="1">
      <c r="A636" s="56">
        <f t="shared" si="9"/>
        <v>618</v>
      </c>
      <c r="B636" s="57" cm="1">
        <f t="array" ref="B636:F636">runReactor(B635:F635,$B$2,$B$3,A635,A636,$B$8)</f>
        <v>287810.52545184811</v>
      </c>
      <c r="C636" s="57">
        <v>4.5250103039097667</v>
      </c>
      <c r="D636" s="57">
        <v>1.0684821155523229E-2</v>
      </c>
      <c r="E636" s="57">
        <v>251.25173011323454</v>
      </c>
      <c r="F636" s="58">
        <v>11446270.495617114</v>
      </c>
    </row>
    <row r="637" spans="1:6" ht="16.5" customHeight="1">
      <c r="A637" s="56">
        <f t="shared" si="9"/>
        <v>619</v>
      </c>
      <c r="B637" s="57" cm="1">
        <f t="array" ref="B637:F637">runReactor(B636:F636,$B$2,$B$3,A636,A637,$B$8)</f>
        <v>288276.68887379696</v>
      </c>
      <c r="C637" s="57">
        <v>4.5176929683157034</v>
      </c>
      <c r="D637" s="57">
        <v>1.0684972011194281E-2</v>
      </c>
      <c r="E637" s="57">
        <v>251.25532725959044</v>
      </c>
      <c r="F637" s="58">
        <v>11446270.293553779</v>
      </c>
    </row>
    <row r="638" spans="1:6" ht="16.5" customHeight="1">
      <c r="A638" s="56">
        <f t="shared" si="9"/>
        <v>620</v>
      </c>
      <c r="B638" s="57" cm="1">
        <f t="array" ref="B638:F638">runReactor(B637:F637,$B$2,$B$3,A637,A638,$B$8)</f>
        <v>288742.8522957458</v>
      </c>
      <c r="C638" s="57">
        <v>4.5103992600529601</v>
      </c>
      <c r="D638" s="57">
        <v>1.0685122381516208E-2</v>
      </c>
      <c r="E638" s="57">
        <v>251.25891279093071</v>
      </c>
      <c r="F638" s="58">
        <v>11446270.092146464</v>
      </c>
    </row>
    <row r="639" spans="1:6" ht="16.5" customHeight="1">
      <c r="A639" s="56">
        <f t="shared" si="9"/>
        <v>621</v>
      </c>
      <c r="B639" s="57" cm="1">
        <f t="array" ref="B639:F639">runReactor(B638:F638,$B$2,$B$3,A638,A639,$B$8)</f>
        <v>289209.01571769465</v>
      </c>
      <c r="C639" s="57">
        <v>4.5031290648686779</v>
      </c>
      <c r="D639" s="57">
        <v>1.0685272268827066E-2</v>
      </c>
      <c r="E639" s="57">
        <v>251.26248676342158</v>
      </c>
      <c r="F639" s="58">
        <v>11446269.891391991</v>
      </c>
    </row>
    <row r="640" spans="1:6" ht="16.5" customHeight="1">
      <c r="A640" s="56">
        <f t="shared" si="9"/>
        <v>622</v>
      </c>
      <c r="B640" s="57" cm="1">
        <f t="array" ref="B640:F640">runReactor(B639:F639,$B$2,$B$3,A639,A640,$B$8)</f>
        <v>289675.1791396435</v>
      </c>
      <c r="C640" s="57">
        <v>4.4958822692454579</v>
      </c>
      <c r="D640" s="57">
        <v>1.068542167545139E-2</v>
      </c>
      <c r="E640" s="57">
        <v>251.266049232867</v>
      </c>
      <c r="F640" s="58">
        <v>11446269.691287184</v>
      </c>
    </row>
    <row r="641" spans="1:6" ht="16.5" customHeight="1">
      <c r="A641" s="56">
        <f t="shared" si="9"/>
        <v>623</v>
      </c>
      <c r="B641" s="57" cm="1">
        <f t="array" ref="B641:F641">runReactor(B640:F640,$B$2,$B$3,A640,A641,$B$8)</f>
        <v>290141.34256159235</v>
      </c>
      <c r="C641" s="57">
        <v>4.4886587603954631</v>
      </c>
      <c r="D641" s="57">
        <v>1.0685570603697169E-2</v>
      </c>
      <c r="E641" s="57">
        <v>251.26960025471277</v>
      </c>
      <c r="F641" s="58">
        <v>11446269.491828874</v>
      </c>
    </row>
    <row r="642" spans="1:6" ht="16.5" customHeight="1">
      <c r="A642" s="56">
        <f t="shared" si="9"/>
        <v>624</v>
      </c>
      <c r="B642" s="57" cm="1">
        <f t="array" ref="B642:F642">runReactor(B641:F641,$B$2,$B$3,A641,A642,$B$8)</f>
        <v>290607.5059835412</v>
      </c>
      <c r="C642" s="57">
        <v>4.4814584262545409</v>
      </c>
      <c r="D642" s="57">
        <v>1.0685719055858377E-2</v>
      </c>
      <c r="E642" s="57">
        <v>251.27313988404867</v>
      </c>
      <c r="F642" s="58">
        <v>11446269.293013973</v>
      </c>
    </row>
    <row r="643" spans="1:6" ht="16.5" customHeight="1">
      <c r="A643" s="56">
        <f t="shared" si="9"/>
        <v>625</v>
      </c>
      <c r="B643" s="57" cm="1">
        <f t="array" ref="B643:F643">runReactor(B642:F642,$B$2,$B$3,A642,A643,$B$8)</f>
        <v>291073.66940549004</v>
      </c>
      <c r="C643" s="57">
        <v>4.4742811554764561</v>
      </c>
      <c r="D643" s="57">
        <v>1.0685867034214461E-2</v>
      </c>
      <c r="E643" s="57">
        <v>251.27666817561177</v>
      </c>
      <c r="F643" s="58">
        <v>11446269.094839357</v>
      </c>
    </row>
    <row r="644" spans="1:6" ht="16.5" customHeight="1">
      <c r="A644" s="56">
        <f t="shared" si="9"/>
        <v>626</v>
      </c>
      <c r="B644" s="57" cm="1">
        <f t="array" ref="B644:F644">runReactor(B643:F643,$B$2,$B$3,A643,A644,$B$8)</f>
        <v>291539.83282743889</v>
      </c>
      <c r="C644" s="57">
        <v>4.4671268374271342</v>
      </c>
      <c r="D644" s="57">
        <v>1.0686014541029848E-2</v>
      </c>
      <c r="E644" s="57">
        <v>251.28018518378894</v>
      </c>
      <c r="F644" s="58">
        <v>11446268.897301933</v>
      </c>
    </row>
    <row r="645" spans="1:6" ht="16.5" customHeight="1">
      <c r="A645" s="56">
        <f t="shared" si="9"/>
        <v>627</v>
      </c>
      <c r="B645" s="57" cm="1">
        <f t="array" ref="B645:F645">runReactor(B644:F644,$B$2,$B$3,A644,A645,$B$8)</f>
        <v>292005.99624938774</v>
      </c>
      <c r="C645" s="57">
        <v>4.4599953621789723</v>
      </c>
      <c r="D645" s="57">
        <v>1.0686161578555266E-2</v>
      </c>
      <c r="E645" s="57">
        <v>251.28369096261957</v>
      </c>
      <c r="F645" s="58">
        <v>11446268.700398624</v>
      </c>
    </row>
    <row r="646" spans="1:6" ht="16.5" customHeight="1">
      <c r="A646" s="56">
        <f t="shared" si="9"/>
        <v>628</v>
      </c>
      <c r="B646" s="57" cm="1">
        <f t="array" ref="B646:F646">runReactor(B645:F645,$B$2,$B$3,A645,A646,$B$8)</f>
        <v>292472.15967133659</v>
      </c>
      <c r="C646" s="57">
        <v>4.4528866205052395</v>
      </c>
      <c r="D646" s="57">
        <v>1.0686308149026377E-2</v>
      </c>
      <c r="E646" s="57">
        <v>251.28718556579892</v>
      </c>
      <c r="F646" s="58">
        <v>11446268.504126396</v>
      </c>
    </row>
    <row r="647" spans="1:6" ht="16.5" customHeight="1">
      <c r="A647" s="56">
        <f t="shared" si="9"/>
        <v>629</v>
      </c>
      <c r="B647" s="57" cm="1">
        <f t="array" ref="B647:F647">runReactor(B646:F646,$B$2,$B$3,A646,A647,$B$8)</f>
        <v>292938.32309328543</v>
      </c>
      <c r="C647" s="57">
        <v>4.4458005038744508</v>
      </c>
      <c r="D647" s="57">
        <v>1.0686454254665063E-2</v>
      </c>
      <c r="E647" s="57">
        <v>251.29066904668011</v>
      </c>
      <c r="F647" s="58">
        <v>11446268.308482226</v>
      </c>
    </row>
    <row r="648" spans="1:6" ht="16.5" customHeight="1">
      <c r="A648" s="56">
        <f t="shared" si="9"/>
        <v>630</v>
      </c>
      <c r="B648" s="57" cm="1">
        <f t="array" ref="B648:F648">runReactor(B647:F647,$B$2,$B$3,A647,A648,$B$8)</f>
        <v>293404.48651523428</v>
      </c>
      <c r="C648" s="57">
        <v>4.4387369044448945</v>
      </c>
      <c r="D648" s="57">
        <v>1.0686599897679484E-2</v>
      </c>
      <c r="E648" s="57">
        <v>251.29414145827738</v>
      </c>
      <c r="F648" s="58">
        <v>11446268.113463083</v>
      </c>
    </row>
    <row r="649" spans="1:6" ht="16.5" customHeight="1">
      <c r="A649" s="56">
        <f t="shared" si="9"/>
        <v>631</v>
      </c>
      <c r="B649" s="57" cm="1">
        <f t="array" ref="B649:F649">runReactor(B648:F648,$B$2,$B$3,A648,A649,$B$8)</f>
        <v>293870.64993718313</v>
      </c>
      <c r="C649" s="57">
        <v>4.4316957150591261</v>
      </c>
      <c r="D649" s="57">
        <v>1.0686745080262752E-2</v>
      </c>
      <c r="E649" s="57">
        <v>251.2976028532685</v>
      </c>
      <c r="F649" s="58">
        <v>11446267.919065978</v>
      </c>
    </row>
    <row r="650" spans="1:6" ht="16.5" customHeight="1">
      <c r="A650" s="56">
        <f t="shared" si="9"/>
        <v>632</v>
      </c>
      <c r="B650" s="57" cm="1">
        <f t="array" ref="B650:F650">runReactor(B649:F649,$B$2,$B$3,A649,A650,$B$8)</f>
        <v>294336.81335913198</v>
      </c>
      <c r="C650" s="57">
        <v>4.4246768292385665</v>
      </c>
      <c r="D650" s="57">
        <v>1.0686889804595116E-2</v>
      </c>
      <c r="E650" s="57">
        <v>251.30105328399733</v>
      </c>
      <c r="F650" s="58">
        <v>11446267.725287955</v>
      </c>
    </row>
    <row r="651" spans="1:6" ht="16.5" customHeight="1">
      <c r="A651" s="56">
        <f t="shared" si="9"/>
        <v>633</v>
      </c>
      <c r="B651" s="57" cm="1">
        <f t="array" ref="B651:F651">runReactor(B650:F650,$B$2,$B$3,A650,A651,$B$8)</f>
        <v>294802.97678108083</v>
      </c>
      <c r="C651" s="57">
        <v>4.4176801411781206</v>
      </c>
      <c r="D651" s="57">
        <v>1.0687034072842987E-2</v>
      </c>
      <c r="E651" s="57">
        <v>251.30449280247697</v>
      </c>
      <c r="F651" s="58">
        <v>11446267.53212605</v>
      </c>
    </row>
    <row r="652" spans="1:6" ht="16.5" customHeight="1">
      <c r="A652" s="56">
        <f t="shared" si="9"/>
        <v>634</v>
      </c>
      <c r="B652" s="57" cm="1">
        <f t="array" ref="B652:F652">runReactor(B651:F651,$B$2,$B$3,A651,A652,$B$8)</f>
        <v>295269.14020302967</v>
      </c>
      <c r="C652" s="57">
        <v>4.410705545740881</v>
      </c>
      <c r="D652" s="57">
        <v>1.0687177887159264E-2</v>
      </c>
      <c r="E652" s="57">
        <v>251.30792146039207</v>
      </c>
      <c r="F652" s="58">
        <v>11446267.33957733</v>
      </c>
    </row>
    <row r="653" spans="1:6" ht="16.5" customHeight="1">
      <c r="A653" s="56">
        <f t="shared" si="9"/>
        <v>635</v>
      </c>
      <c r="B653" s="57" cm="1">
        <f t="array" ref="B653:F653">runReactor(B652:F652,$B$2,$B$3,A652,A653,$B$8)</f>
        <v>295735.30362497852</v>
      </c>
      <c r="C653" s="57">
        <v>4.4037529384528513</v>
      </c>
      <c r="D653" s="57">
        <v>1.06873212496828E-2</v>
      </c>
      <c r="E653" s="57">
        <v>251.3113393091009</v>
      </c>
      <c r="F653" s="58">
        <v>11446267.147638885</v>
      </c>
    </row>
    <row r="654" spans="1:6" ht="16.5" customHeight="1">
      <c r="A654" s="56">
        <f t="shared" si="9"/>
        <v>636</v>
      </c>
      <c r="B654" s="57" cm="1">
        <f t="array" ref="B654:F654">runReactor(B653:F653,$B$2,$B$3,A653,A654,$B$8)</f>
        <v>296201.46704692737</v>
      </c>
      <c r="C654" s="57">
        <v>4.3968222154977283</v>
      </c>
      <c r="D654" s="57">
        <v>1.068746416253862E-2</v>
      </c>
      <c r="E654" s="57">
        <v>251.31474639963898</v>
      </c>
      <c r="F654" s="58">
        <v>11446266.956307817</v>
      </c>
    </row>
    <row r="655" spans="1:6" ht="16.5" customHeight="1">
      <c r="A655" s="56">
        <f t="shared" si="9"/>
        <v>637</v>
      </c>
      <c r="B655" s="57" cm="1">
        <f t="array" ref="B655:F655">runReactor(B654:F654,$B$2,$B$3,A654,A655,$B$8)</f>
        <v>296667.63046887622</v>
      </c>
      <c r="C655" s="57">
        <v>4.3899132737117261</v>
      </c>
      <c r="D655" s="57">
        <v>1.0687606627839319E-2</v>
      </c>
      <c r="E655" s="57">
        <v>251.31814278272083</v>
      </c>
      <c r="F655" s="58">
        <v>11446266.765581241</v>
      </c>
    </row>
    <row r="656" spans="1:6" ht="16.5" customHeight="1">
      <c r="A656" s="56">
        <f t="shared" si="9"/>
        <v>638</v>
      </c>
      <c r="B656" s="57" cm="1">
        <f t="array" ref="B656:F656">runReactor(B655:F655,$B$2,$B$3,A655,A656,$B$8)</f>
        <v>297133.79389082507</v>
      </c>
      <c r="C656" s="57">
        <v>4.3830260105784733</v>
      </c>
      <c r="D656" s="57">
        <v>1.0687748647684382E-2</v>
      </c>
      <c r="E656" s="57">
        <v>251.32152850874283</v>
      </c>
      <c r="F656" s="58">
        <v>11446266.575456301</v>
      </c>
    </row>
    <row r="657" spans="1:6" ht="16.5" customHeight="1">
      <c r="A657" s="56">
        <f t="shared" si="9"/>
        <v>639</v>
      </c>
      <c r="B657" s="57" cm="1">
        <f t="array" ref="B657:F657">runReactor(B656:F656,$B$2,$B$3,A656,A657,$B$8)</f>
        <v>297599.95731277391</v>
      </c>
      <c r="C657" s="57">
        <v>4.3761603242239424</v>
      </c>
      <c r="D657" s="57">
        <v>1.0687890224159126E-2</v>
      </c>
      <c r="E657" s="57">
        <v>251.32490362778526</v>
      </c>
      <c r="F657" s="58">
        <v>11446266.385930145</v>
      </c>
    </row>
    <row r="658" spans="1:6" ht="16.5" customHeight="1">
      <c r="A658" s="56">
        <f t="shared" si="9"/>
        <v>640</v>
      </c>
      <c r="B658" s="57" cm="1">
        <f t="array" ref="B658:F658">runReactor(B657:F657,$B$2,$B$3,A657,A658,$B$8)</f>
        <v>298066.12073472276</v>
      </c>
      <c r="C658" s="57">
        <v>4.3693161134114025</v>
      </c>
      <c r="D658" s="57">
        <v>1.0688031359336969E-2</v>
      </c>
      <c r="E658" s="57">
        <v>251.32826818961522</v>
      </c>
      <c r="F658" s="58">
        <v>11446266.196999965</v>
      </c>
    </row>
    <row r="659" spans="1:6" ht="16.5" customHeight="1">
      <c r="A659" s="56">
        <f t="shared" si="9"/>
        <v>641</v>
      </c>
      <c r="B659" s="57" cm="1">
        <f t="array" ref="B659:F659">runReactor(B658:F658,$B$2,$B$3,A658,A659,$B$8)</f>
        <v>298532.28415667161</v>
      </c>
      <c r="C659" s="57">
        <v>4.362493277536478</v>
      </c>
      <c r="D659" s="57">
        <v>1.0688172055278456E-2</v>
      </c>
      <c r="E659" s="57">
        <v>251.3316222436894</v>
      </c>
      <c r="F659" s="58">
        <v>11446266.008662945</v>
      </c>
    </row>
    <row r="660" spans="1:6" ht="16.5" customHeight="1">
      <c r="A660" s="56">
        <f t="shared" ref="A660:A723" si="10">A659+1</f>
        <v>642</v>
      </c>
      <c r="B660" s="57" cm="1">
        <f t="array" ref="B660:F660">runReactor(B659:F659,$B$2,$B$3,A659,A660,$B$8)</f>
        <v>298998.44757862046</v>
      </c>
      <c r="C660" s="57">
        <v>4.3556917166221991</v>
      </c>
      <c r="D660" s="57">
        <v>1.0688312314030123E-2</v>
      </c>
      <c r="E660" s="57">
        <v>251.33496583915553</v>
      </c>
      <c r="F660" s="58">
        <v>11446265.820916291</v>
      </c>
    </row>
    <row r="661" spans="1:6" ht="16.5" customHeight="1">
      <c r="A661" s="56">
        <f t="shared" si="10"/>
        <v>643</v>
      </c>
      <c r="B661" s="57" cm="1">
        <f t="array" ref="B661:F661">runReactor(B660:F660,$B$2,$B$3,A660,A661,$B$8)</f>
        <v>299464.6110005693</v>
      </c>
      <c r="C661" s="57">
        <v>4.3489113313141115</v>
      </c>
      <c r="D661" s="57">
        <v>1.0688452137627395E-2</v>
      </c>
      <c r="E661" s="57">
        <v>251.33829902485553</v>
      </c>
      <c r="F661" s="58">
        <v>11446265.633757245</v>
      </c>
    </row>
    <row r="662" spans="1:6" ht="16.5" customHeight="1">
      <c r="A662" s="56">
        <f t="shared" si="10"/>
        <v>644</v>
      </c>
      <c r="B662" s="57" cm="1">
        <f t="array" ref="B662:F662">runReactor(B661:F661,$B$2,$B$3,A661,A662,$B$8)</f>
        <v>299930.77442251815</v>
      </c>
      <c r="C662" s="57">
        <v>4.34215202287547</v>
      </c>
      <c r="D662" s="57">
        <v>1.0688591528091445E-2</v>
      </c>
      <c r="E662" s="57">
        <v>251.34162184932765</v>
      </c>
      <c r="F662" s="58">
        <v>11446265.447183045</v>
      </c>
    </row>
    <row r="663" spans="1:6" ht="16.5" customHeight="1">
      <c r="A663" s="56">
        <f t="shared" si="10"/>
        <v>645</v>
      </c>
      <c r="B663" s="57" cm="1">
        <f t="array" ref="B663:F663">runReactor(B662:F662,$B$2,$B$3,A662,A663,$B$8)</f>
        <v>300396.937844467</v>
      </c>
      <c r="C663" s="57">
        <v>4.3354136931823959</v>
      </c>
      <c r="D663" s="57">
        <v>1.0688730487431941E-2</v>
      </c>
      <c r="E663" s="57">
        <v>251.34493436080876</v>
      </c>
      <c r="F663" s="58">
        <v>11446265.261190951</v>
      </c>
    </row>
    <row r="664" spans="1:6" ht="16.5" customHeight="1">
      <c r="A664" s="56">
        <f t="shared" si="10"/>
        <v>646</v>
      </c>
      <c r="B664" s="57" cm="1">
        <f t="array" ref="B664:F664">runReactor(B663:F663,$B$2,$B$3,A663,A664,$B$8)</f>
        <v>300863.10126641585</v>
      </c>
      <c r="C664" s="57">
        <v>4.328696244719179</v>
      </c>
      <c r="D664" s="57">
        <v>1.0688869017646414E-2</v>
      </c>
      <c r="E664" s="57">
        <v>251.348236607237</v>
      </c>
      <c r="F664" s="58">
        <v>11446265.075778246</v>
      </c>
    </row>
    <row r="665" spans="1:6" ht="16.5" customHeight="1">
      <c r="A665" s="56">
        <f t="shared" si="10"/>
        <v>647</v>
      </c>
      <c r="B665" s="57" cm="1">
        <f t="array" ref="B665:F665">runReactor(B664:F664,$B$2,$B$3,A664,A665,$B$8)</f>
        <v>301329.2646883647</v>
      </c>
      <c r="C665" s="57">
        <v>4.3219995805735447</v>
      </c>
      <c r="D665" s="57">
        <v>1.0689007120719357E-2</v>
      </c>
      <c r="E665" s="57">
        <v>251.35152863625365</v>
      </c>
      <c r="F665" s="58">
        <v>11446264.890942218</v>
      </c>
    </row>
    <row r="666" spans="1:6" ht="16.5" customHeight="1">
      <c r="A666" s="56">
        <f t="shared" si="10"/>
        <v>648</v>
      </c>
      <c r="B666" s="57" cm="1">
        <f t="array" ref="B666:F666">runReactor(B665:F665,$B$2,$B$3,A665,A666,$B$8)</f>
        <v>301795.42811031354</v>
      </c>
      <c r="C666" s="57">
        <v>4.3153236044320034</v>
      </c>
      <c r="D666" s="57">
        <v>1.0689144798623358E-2</v>
      </c>
      <c r="E666" s="57">
        <v>251.3548104952053</v>
      </c>
      <c r="F666" s="58">
        <v>11446264.70668019</v>
      </c>
    </row>
    <row r="667" spans="1:6" ht="16.5" customHeight="1">
      <c r="A667" s="56">
        <f t="shared" si="10"/>
        <v>649</v>
      </c>
      <c r="B667" s="57" cm="1">
        <f t="array" ref="B667:F667">runReactor(B666:F666,$B$2,$B$3,A666,A667,$B$8)</f>
        <v>302261.59153226239</v>
      </c>
      <c r="C667" s="57">
        <v>4.3086682205752274</v>
      </c>
      <c r="D667" s="57">
        <v>1.0689282053318566E-2</v>
      </c>
      <c r="E667" s="57">
        <v>251.35808223114725</v>
      </c>
      <c r="F667" s="58">
        <v>11446264.522989504</v>
      </c>
    </row>
    <row r="668" spans="1:6" ht="16.5" customHeight="1">
      <c r="A668" s="56">
        <f t="shared" si="10"/>
        <v>650</v>
      </c>
      <c r="B668" s="57" cm="1">
        <f t="array" ref="B668:F668">runReactor(B667:F667,$B$2,$B$3,A667,A668,$B$8)</f>
        <v>302727.75495421124</v>
      </c>
      <c r="C668" s="57">
        <v>4.3020333338734771</v>
      </c>
      <c r="D668" s="57">
        <v>1.068941888675373E-2</v>
      </c>
      <c r="E668" s="57">
        <v>251.36134389084452</v>
      </c>
      <c r="F668" s="58">
        <v>11446264.339867484</v>
      </c>
    </row>
    <row r="669" spans="1:6" ht="16.5" customHeight="1">
      <c r="A669" s="56">
        <f t="shared" si="10"/>
        <v>651</v>
      </c>
      <c r="B669" s="57" cm="1">
        <f t="array" ref="B669:F669">runReactor(B668:F668,$B$2,$B$3,A668,A669,$B$8)</f>
        <v>303193.91837616009</v>
      </c>
      <c r="C669" s="57">
        <v>4.2954188497820747</v>
      </c>
      <c r="D669" s="57">
        <v>1.0689555300865142E-2</v>
      </c>
      <c r="E669" s="57">
        <v>251.36459552077437</v>
      </c>
      <c r="F669" s="58">
        <v>11446264.157311499</v>
      </c>
    </row>
    <row r="670" spans="1:6" ht="16.5" customHeight="1">
      <c r="A670" s="56">
        <f t="shared" si="10"/>
        <v>652</v>
      </c>
      <c r="B670" s="57" cm="1">
        <f t="array" ref="B670:F670">runReactor(B669:F669,$B$2,$B$3,A669,A670,$B$8)</f>
        <v>303660.08179810893</v>
      </c>
      <c r="C670" s="57">
        <v>4.2888246743369063</v>
      </c>
      <c r="D670" s="57">
        <v>1.0689691297577393E-2</v>
      </c>
      <c r="E670" s="57">
        <v>251.36783716712904</v>
      </c>
      <c r="F670" s="58">
        <v>11446263.975318929</v>
      </c>
    </row>
    <row r="671" spans="1:6" ht="16.5" customHeight="1">
      <c r="A671" s="56">
        <f t="shared" si="10"/>
        <v>653</v>
      </c>
      <c r="B671" s="57" cm="1">
        <f t="array" ref="B671:F671">runReactor(B670:F670,$B$2,$B$3,A670,A671,$B$8)</f>
        <v>304126.24522005778</v>
      </c>
      <c r="C671" s="57">
        <v>4.2822507141499804</v>
      </c>
      <c r="D671" s="57">
        <v>1.0689826878803444E-2</v>
      </c>
      <c r="E671" s="57">
        <v>251.3710688758172</v>
      </c>
      <c r="F671" s="58">
        <v>11446263.79388717</v>
      </c>
    </row>
    <row r="672" spans="1:6" ht="16.5" customHeight="1">
      <c r="A672" s="56">
        <f t="shared" si="10"/>
        <v>654</v>
      </c>
      <c r="B672" s="57" cm="1">
        <f t="array" ref="B672:F672">runReactor(B671:F671,$B$2,$B$3,A671,A672,$B$8)</f>
        <v>304592.40864200663</v>
      </c>
      <c r="C672" s="57">
        <v>4.2756968764050054</v>
      </c>
      <c r="D672" s="57">
        <v>1.068996204644428E-2</v>
      </c>
      <c r="E672" s="57">
        <v>251.37429069246659</v>
      </c>
      <c r="F672" s="58">
        <v>11446263.613013636</v>
      </c>
    </row>
    <row r="673" spans="1:6" ht="16.5" customHeight="1">
      <c r="A673" s="56">
        <f t="shared" si="10"/>
        <v>655</v>
      </c>
      <c r="B673" s="57" cm="1">
        <f t="array" ref="B673:F673">runReactor(B672:F672,$B$2,$B$3,A672,A673,$B$8)</f>
        <v>305058.57206395548</v>
      </c>
      <c r="C673" s="57">
        <v>4.2691630688530369</v>
      </c>
      <c r="D673" s="57">
        <v>1.0690096802389453E-2</v>
      </c>
      <c r="E673" s="57">
        <v>251.37750266242631</v>
      </c>
      <c r="F673" s="58">
        <v>11446263.432695756</v>
      </c>
    </row>
    <row r="674" spans="1:6" ht="16.5" customHeight="1">
      <c r="A674" s="56">
        <f t="shared" si="10"/>
        <v>656</v>
      </c>
      <c r="B674" s="57" cm="1">
        <f t="array" ref="B674:F674">runReactor(B673:F673,$B$2,$B$3,A673,A674,$B$8)</f>
        <v>305524.73548590433</v>
      </c>
      <c r="C674" s="57">
        <v>4.2626491998081431</v>
      </c>
      <c r="D674" s="57">
        <v>1.0690231148517122E-2</v>
      </c>
      <c r="E674" s="57">
        <v>251.38070483076837</v>
      </c>
      <c r="F674" s="58">
        <v>11446263.252930986</v>
      </c>
    </row>
    <row r="675" spans="1:6" ht="16.5" customHeight="1">
      <c r="A675" s="56">
        <f t="shared" si="10"/>
        <v>657</v>
      </c>
      <c r="B675" s="57" cm="1">
        <f t="array" ref="B675:F675">runReactor(B674:F674,$B$2,$B$3,A674,A675,$B$8)</f>
        <v>305990.89890785317</v>
      </c>
      <c r="C675" s="57">
        <v>4.2561551781431151</v>
      </c>
      <c r="D675" s="57">
        <v>1.0690365086693476E-2</v>
      </c>
      <c r="E675" s="57">
        <v>251.38389724229006</v>
      </c>
      <c r="F675" s="58">
        <v>11446263.073716762</v>
      </c>
    </row>
    <row r="676" spans="1:6" ht="16.5" customHeight="1">
      <c r="A676" s="56">
        <f t="shared" si="10"/>
        <v>658</v>
      </c>
      <c r="B676" s="57" cm="1">
        <f t="array" ref="B676:F676">runReactor(B675:F675,$B$2,$B$3,A675,A676,$B$8)</f>
        <v>306457.06232980202</v>
      </c>
      <c r="C676" s="57">
        <v>4.2496809132852151</v>
      </c>
      <c r="D676" s="57">
        <v>1.0690498618773971E-2</v>
      </c>
      <c r="E676" s="57">
        <v>251.3870799415165</v>
      </c>
      <c r="F676" s="58">
        <v>11446262.895050563</v>
      </c>
    </row>
    <row r="677" spans="1:6" ht="16.5" customHeight="1">
      <c r="A677" s="56">
        <f t="shared" si="10"/>
        <v>659</v>
      </c>
      <c r="B677" s="57" cm="1">
        <f t="array" ref="B677:F677">runReactor(B676:F676,$B$2,$B$3,A676,A677,$B$8)</f>
        <v>306923.22575175087</v>
      </c>
      <c r="C677" s="57">
        <v>4.2432263152119623</v>
      </c>
      <c r="D677" s="57">
        <v>1.0690631746602987E-2</v>
      </c>
      <c r="E677" s="57">
        <v>251.39025297270183</v>
      </c>
      <c r="F677" s="58">
        <v>11446262.716929881</v>
      </c>
    </row>
    <row r="678" spans="1:6" ht="16.5" customHeight="1">
      <c r="A678" s="56">
        <f t="shared" si="10"/>
        <v>660</v>
      </c>
      <c r="B678" s="57" cm="1">
        <f t="array" ref="B678:F678">runReactor(B677:F677,$B$2,$B$3,A677,A678,$B$8)</f>
        <v>307389.38917369972</v>
      </c>
      <c r="C678" s="57">
        <v>4.2367912944469754</v>
      </c>
      <c r="D678" s="57">
        <v>1.0690764472013696E-2</v>
      </c>
      <c r="E678" s="57">
        <v>251.39341637983199</v>
      </c>
      <c r="F678" s="58">
        <v>11446262.539352223</v>
      </c>
    </row>
    <row r="679" spans="1:6" ht="16.5" customHeight="1">
      <c r="A679" s="56">
        <f t="shared" si="10"/>
        <v>661</v>
      </c>
      <c r="B679" s="57" cm="1">
        <f t="array" ref="B679:F679">runReactor(B678:F678,$B$2,$B$3,A678,A679,$B$8)</f>
        <v>307855.55259564857</v>
      </c>
      <c r="C679" s="57">
        <v>4.2303757620558269</v>
      </c>
      <c r="D679" s="57">
        <v>1.0690896796828268E-2</v>
      </c>
      <c r="E679" s="57">
        <v>251.39657020662648</v>
      </c>
      <c r="F679" s="58">
        <v>11446262.362315111</v>
      </c>
    </row>
    <row r="680" spans="1:6" ht="16.5" customHeight="1">
      <c r="A680" s="56">
        <f t="shared" si="10"/>
        <v>662</v>
      </c>
      <c r="B680" s="57" cm="1">
        <f t="array" ref="B680:F680">runReactor(B679:F679,$B$2,$B$3,A679,A680,$B$8)</f>
        <v>308321.71601759741</v>
      </c>
      <c r="C680" s="57">
        <v>4.2239796296419492</v>
      </c>
      <c r="D680" s="57">
        <v>1.069102872285764E-2</v>
      </c>
      <c r="E680" s="57">
        <v>251.39971449654058</v>
      </c>
      <c r="F680" s="58">
        <v>11446262.185816074</v>
      </c>
    </row>
    <row r="681" spans="1:6" ht="16.5" customHeight="1">
      <c r="A681" s="56">
        <f t="shared" si="10"/>
        <v>663</v>
      </c>
      <c r="B681" s="57" cm="1">
        <f t="array" ref="B681:F681">runReactor(B680:F680,$B$2,$B$3,A680,A681,$B$8)</f>
        <v>308787.87943954626</v>
      </c>
      <c r="C681" s="57">
        <v>4.2176028093425835</v>
      </c>
      <c r="D681" s="57">
        <v>1.0691160251901271E-2</v>
      </c>
      <c r="E681" s="57">
        <v>251.4028492927666</v>
      </c>
      <c r="F681" s="58">
        <v>11446262.009852666</v>
      </c>
    </row>
    <row r="682" spans="1:6" ht="16.5" customHeight="1">
      <c r="A682" s="56">
        <f t="shared" si="10"/>
        <v>664</v>
      </c>
      <c r="B682" s="57" cm="1">
        <f t="array" ref="B682:F682">runReactor(B681:F681,$B$2,$B$3,A681,A682,$B$8)</f>
        <v>309254.04286149511</v>
      </c>
      <c r="C682" s="57">
        <v>4.2112452138247294</v>
      </c>
      <c r="D682" s="57">
        <v>1.0691291385747922E-2</v>
      </c>
      <c r="E682" s="57">
        <v>251.40597463823721</v>
      </c>
      <c r="F682" s="58">
        <v>11446261.834422471</v>
      </c>
    </row>
    <row r="683" spans="1:6" ht="16.5" customHeight="1">
      <c r="A683" s="56">
        <f t="shared" si="10"/>
        <v>665</v>
      </c>
      <c r="B683" s="57" cm="1">
        <f t="array" ref="B683:F683">runReactor(B682:F682,$B$2,$B$3,A682,A683,$B$8)</f>
        <v>309720.20628344396</v>
      </c>
      <c r="C683" s="57">
        <v>4.204906756281181</v>
      </c>
      <c r="D683" s="57">
        <v>1.0691422126176778E-2</v>
      </c>
      <c r="E683" s="57">
        <v>251.40909057562575</v>
      </c>
      <c r="F683" s="58">
        <v>11446261.659523038</v>
      </c>
    </row>
    <row r="684" spans="1:6" ht="16.5" customHeight="1">
      <c r="A684" s="56">
        <f t="shared" si="10"/>
        <v>666</v>
      </c>
      <c r="B684" s="57" cm="1">
        <f t="array" ref="B684:F684">runReactor(B683:F683,$B$2,$B$3,A683,A684,$B$8)</f>
        <v>310186.3697053928</v>
      </c>
      <c r="C684" s="57">
        <v>4.1985873504265729</v>
      </c>
      <c r="D684" s="57">
        <v>1.0691552474955564E-2</v>
      </c>
      <c r="E684" s="57">
        <v>251.41219714734956</v>
      </c>
      <c r="F684" s="58">
        <v>11446261.485151974</v>
      </c>
    </row>
    <row r="685" spans="1:6" ht="16.5" customHeight="1">
      <c r="A685" s="56">
        <f t="shared" si="10"/>
        <v>667</v>
      </c>
      <c r="B685" s="57" cm="1">
        <f t="array" ref="B685:F685">runReactor(B684:F684,$B$2,$B$3,A684,A685,$B$8)</f>
        <v>310652.53312734165</v>
      </c>
      <c r="C685" s="57">
        <v>4.1922869104934612</v>
      </c>
      <c r="D685" s="57">
        <v>1.0691682433841611E-2</v>
      </c>
      <c r="E685" s="57">
        <v>251.41529439557138</v>
      </c>
      <c r="F685" s="58">
        <v>11446261.311306896</v>
      </c>
    </row>
    <row r="686" spans="1:6" ht="16.5" customHeight="1">
      <c r="A686" s="56">
        <f t="shared" si="10"/>
        <v>668</v>
      </c>
      <c r="B686" s="57" cm="1">
        <f t="array" ref="B686:F686">runReactor(B685:F685,$B$2,$B$3,A685,A686,$B$8)</f>
        <v>311118.6965492905</v>
      </c>
      <c r="C686" s="57">
        <v>4.1860053512284514</v>
      </c>
      <c r="D686" s="57">
        <v>1.0691812004581587E-2</v>
      </c>
      <c r="E686" s="57">
        <v>251.41838236220093</v>
      </c>
      <c r="F686" s="58">
        <v>11446261.137985408</v>
      </c>
    </row>
    <row r="687" spans="1:6" ht="16.5" customHeight="1">
      <c r="A687" s="56">
        <f t="shared" si="10"/>
        <v>669</v>
      </c>
      <c r="B687" s="57" cm="1">
        <f t="array" ref="B687:F687">runReactor(B686:F686,$B$2,$B$3,A686,A687,$B$8)</f>
        <v>311584.85997123935</v>
      </c>
      <c r="C687" s="57">
        <v>4.1797425878883319</v>
      </c>
      <c r="D687" s="57">
        <v>1.0691941188911681E-2</v>
      </c>
      <c r="E687" s="57">
        <v>251.42146108889759</v>
      </c>
      <c r="F687" s="58">
        <v>11446260.965185165</v>
      </c>
    </row>
    <row r="688" spans="1:6" ht="16.5" customHeight="1">
      <c r="A688" s="56">
        <f t="shared" si="10"/>
        <v>670</v>
      </c>
      <c r="B688" s="57" cm="1">
        <f t="array" ref="B688:F688">runReactor(B687:F687,$B$2,$B$3,A687,A688,$B$8)</f>
        <v>312051.0233931882</v>
      </c>
      <c r="C688" s="57">
        <v>4.1734985362362877</v>
      </c>
      <c r="D688" s="57">
        <v>1.069206998855815E-2</v>
      </c>
      <c r="E688" s="57">
        <v>251.42453061707121</v>
      </c>
      <c r="F688" s="58">
        <v>11446260.792903814</v>
      </c>
    </row>
    <row r="689" spans="1:6" ht="16.5" customHeight="1">
      <c r="A689" s="56">
        <f t="shared" si="10"/>
        <v>671</v>
      </c>
      <c r="B689" s="57" cm="1">
        <f t="array" ref="B689:F689">runReactor(B688:F688,$B$2,$B$3,A688,A689,$B$8)</f>
        <v>312517.18681513704</v>
      </c>
      <c r="C689" s="57">
        <v>4.1672731125381146</v>
      </c>
      <c r="D689" s="57">
        <v>1.0692198405236305E-2</v>
      </c>
      <c r="E689" s="57">
        <v>251.42759098788503</v>
      </c>
      <c r="F689" s="58">
        <v>11446260.621139027</v>
      </c>
    </row>
    <row r="690" spans="1:6" ht="16.5" customHeight="1">
      <c r="A690" s="56">
        <f t="shared" si="10"/>
        <v>672</v>
      </c>
      <c r="B690" s="57" cm="1">
        <f t="array" ref="B690:F690">runReactor(B689:F689,$B$2,$B$3,A689,A690,$B$8)</f>
        <v>312983.35023708589</v>
      </c>
      <c r="C690" s="57">
        <v>4.1610662335584658</v>
      </c>
      <c r="D690" s="57">
        <v>1.0692326440651902E-2</v>
      </c>
      <c r="E690" s="57">
        <v>251.43064224225688</v>
      </c>
      <c r="F690" s="58">
        <v>11446260.449888485</v>
      </c>
    </row>
    <row r="691" spans="1:6" ht="16.5" customHeight="1">
      <c r="A691" s="56">
        <f t="shared" si="10"/>
        <v>673</v>
      </c>
      <c r="B691" s="57" cm="1">
        <f t="array" ref="B691:F691">runReactor(B690:F690,$B$2,$B$3,A690,A691,$B$8)</f>
        <v>313449.51365903474</v>
      </c>
      <c r="C691" s="57">
        <v>4.1548778165571578</v>
      </c>
      <c r="D691" s="57">
        <v>1.0692454096500317E-2</v>
      </c>
      <c r="E691" s="57">
        <v>251.43368442086123</v>
      </c>
      <c r="F691" s="58">
        <v>11446260.279149866</v>
      </c>
    </row>
    <row r="692" spans="1:6" ht="16.5" customHeight="1">
      <c r="A692" s="56">
        <f t="shared" si="10"/>
        <v>674</v>
      </c>
      <c r="B692" s="57" cm="1">
        <f t="array" ref="B692:F692">runReactor(B691:F691,$B$2,$B$3,A691,A692,$B$8)</f>
        <v>313915.67708098359</v>
      </c>
      <c r="C692" s="57">
        <v>4.1487077792854912</v>
      </c>
      <c r="D692" s="57">
        <v>1.0692581374466801E-2</v>
      </c>
      <c r="E692" s="57">
        <v>251.43671756413093</v>
      </c>
      <c r="F692" s="58">
        <v>11446260.108920885</v>
      </c>
    </row>
    <row r="693" spans="1:6" ht="16.5" customHeight="1">
      <c r="A693" s="56">
        <f t="shared" si="10"/>
        <v>675</v>
      </c>
      <c r="B693" s="57" cm="1">
        <f t="array" ref="B693:F693">runReactor(B692:F692,$B$2,$B$3,A692,A693,$B$8)</f>
        <v>314381.84050293243</v>
      </c>
      <c r="C693" s="57">
        <v>4.1425560399825896</v>
      </c>
      <c r="D693" s="57">
        <v>1.0692708276226785E-2</v>
      </c>
      <c r="E693" s="57">
        <v>251.43974171225921</v>
      </c>
      <c r="F693" s="58">
        <v>11446259.939199269</v>
      </c>
    </row>
    <row r="694" spans="1:6" ht="16.5" customHeight="1">
      <c r="A694" s="56">
        <f t="shared" si="10"/>
        <v>676</v>
      </c>
      <c r="B694" s="57" cm="1">
        <f t="array" ref="B694:F694">runReactor(B693:F693,$B$2,$B$3,A693,A694,$B$8)</f>
        <v>314848.00392488128</v>
      </c>
      <c r="C694" s="57">
        <v>4.1364225173718108</v>
      </c>
      <c r="D694" s="57">
        <v>1.0692834803446304E-2</v>
      </c>
      <c r="E694" s="57">
        <v>251.44275690520087</v>
      </c>
      <c r="F694" s="58">
        <v>11446259.76998275</v>
      </c>
    </row>
    <row r="695" spans="1:6" ht="16.5" customHeight="1">
      <c r="A695" s="56">
        <f t="shared" si="10"/>
        <v>677</v>
      </c>
      <c r="B695" s="57" cm="1">
        <f t="array" ref="B695:F695">runReactor(B694:F694,$B$2,$B$3,A694,A695,$B$8)</f>
        <v>315314.16734683013</v>
      </c>
      <c r="C695" s="57">
        <v>4.1303071306571573</v>
      </c>
      <c r="D695" s="57">
        <v>1.0692960957780983E-2</v>
      </c>
      <c r="E695" s="57">
        <v>251.44576318267454</v>
      </c>
      <c r="F695" s="58">
        <v>11446259.601269076</v>
      </c>
    </row>
    <row r="696" spans="1:6" ht="16.5" customHeight="1">
      <c r="A696" s="56">
        <f t="shared" si="10"/>
        <v>678</v>
      </c>
      <c r="B696" s="57" cm="1">
        <f t="array" ref="B696:F696">runReactor(B695:F695,$B$2,$B$3,A695,A696,$B$8)</f>
        <v>315780.33076877898</v>
      </c>
      <c r="C696" s="57">
        <v>4.1242097995197309</v>
      </c>
      <c r="D696" s="57">
        <v>1.0693086740876616E-2</v>
      </c>
      <c r="E696" s="57">
        <v>251.44876058416435</v>
      </c>
      <c r="F696" s="58">
        <v>11446259.433056002</v>
      </c>
    </row>
    <row r="697" spans="1:6" ht="16.5" customHeight="1">
      <c r="A697" s="56">
        <f t="shared" si="10"/>
        <v>679</v>
      </c>
      <c r="B697" s="57" cm="1">
        <f t="array" ref="B697:F697">runReactor(B696:F696,$B$2,$B$3,A696,A697,$B$8)</f>
        <v>316246.49419072783</v>
      </c>
      <c r="C697" s="57">
        <v>4.118130444114219</v>
      </c>
      <c r="D697" s="57">
        <v>1.0693212154369251E-2</v>
      </c>
      <c r="E697" s="57">
        <v>251.45174914892175</v>
      </c>
      <c r="F697" s="58">
        <v>11446259.265341319</v>
      </c>
    </row>
    <row r="698" spans="1:6" ht="16.5" customHeight="1">
      <c r="A698" s="56">
        <f t="shared" si="10"/>
        <v>680</v>
      </c>
      <c r="B698" s="57" cm="1">
        <f t="array" ref="B698:F698">runReactor(B697:F697,$B$2,$B$3,A697,A698,$B$8)</f>
        <v>316712.65761267667</v>
      </c>
      <c r="C698" s="57">
        <v>4.1120689850653962</v>
      </c>
      <c r="D698" s="57">
        <v>1.0693337199885224E-2</v>
      </c>
      <c r="E698" s="57">
        <v>251.45472891596688</v>
      </c>
      <c r="F698" s="58">
        <v>11446259.098122813</v>
      </c>
    </row>
    <row r="699" spans="1:6" ht="16.5" customHeight="1">
      <c r="A699" s="56">
        <f t="shared" si="10"/>
        <v>681</v>
      </c>
      <c r="B699" s="57" cm="1">
        <f t="array" ref="B699:F699">runReactor(B698:F698,$B$2,$B$3,A698,A699,$B$8)</f>
        <v>317178.82103462552</v>
      </c>
      <c r="C699" s="57">
        <v>4.1060253434646743</v>
      </c>
      <c r="D699" s="57">
        <v>1.0693461879041997E-2</v>
      </c>
      <c r="E699" s="57">
        <v>251.45769992409069</v>
      </c>
      <c r="F699" s="58">
        <v>11446258.931398276</v>
      </c>
    </row>
    <row r="700" spans="1:6" ht="16.5" customHeight="1">
      <c r="A700" s="56">
        <f t="shared" si="10"/>
        <v>682</v>
      </c>
      <c r="B700" s="57" cm="1">
        <f t="array" ref="B700:F700">runReactor(B699:F699,$B$2,$B$3,A699,A700,$B$8)</f>
        <v>317644.98445657437</v>
      </c>
      <c r="C700" s="57">
        <v>4.0999994408666902</v>
      </c>
      <c r="D700" s="57">
        <v>1.069358619344778E-2</v>
      </c>
      <c r="E700" s="57">
        <v>251.46066221185637</v>
      </c>
      <c r="F700" s="58">
        <v>11446258.765165521</v>
      </c>
    </row>
    <row r="701" spans="1:6" ht="16.5" customHeight="1">
      <c r="A701" s="56">
        <f t="shared" si="10"/>
        <v>683</v>
      </c>
      <c r="B701" s="57" cm="1">
        <f t="array" ref="B701:F701">runReactor(B700:F700,$B$2,$B$3,A700,A701,$B$8)</f>
        <v>318111.14787852322</v>
      </c>
      <c r="C701" s="57">
        <v>4.0939911992859068</v>
      </c>
      <c r="D701" s="57">
        <v>1.0693710144700592E-2</v>
      </c>
      <c r="E701" s="57">
        <v>251.46361581760075</v>
      </c>
      <c r="F701" s="58">
        <v>11446258.599422373</v>
      </c>
    </row>
    <row r="702" spans="1:6" ht="16.5" customHeight="1">
      <c r="A702" s="56">
        <f t="shared" si="10"/>
        <v>684</v>
      </c>
      <c r="B702" s="57" cm="1">
        <f t="array" ref="B702:F702">runReactor(B701:F701,$B$2,$B$3,A701,A702,$B$8)</f>
        <v>318577.31130047207</v>
      </c>
      <c r="C702" s="57">
        <v>4.0880005411932423</v>
      </c>
      <c r="D702" s="57">
        <v>1.0693833734389601E-2</v>
      </c>
      <c r="E702" s="57">
        <v>251.46656077943689</v>
      </c>
      <c r="F702" s="58">
        <v>11446258.434166681</v>
      </c>
    </row>
    <row r="703" spans="1:6" ht="16.5" customHeight="1">
      <c r="A703" s="56">
        <f t="shared" si="10"/>
        <v>685</v>
      </c>
      <c r="B703" s="57" cm="1">
        <f t="array" ref="B703:F703">runReactor(B702:F702,$B$2,$B$3,A702,A703,$B$8)</f>
        <v>319043.47472242091</v>
      </c>
      <c r="C703" s="57">
        <v>4.0820273895127421</v>
      </c>
      <c r="D703" s="57">
        <v>1.0693956964093984E-2</v>
      </c>
      <c r="E703" s="57">
        <v>251.46949713525447</v>
      </c>
      <c r="F703" s="58">
        <v>11446258.269396298</v>
      </c>
    </row>
    <row r="704" spans="1:6" ht="16.5" customHeight="1">
      <c r="A704" s="56">
        <f t="shared" si="10"/>
        <v>686</v>
      </c>
      <c r="B704" s="57" cm="1">
        <f t="array" ref="B704:F704">runReactor(B703:F703,$B$2,$B$3,A703,A704,$B$8)</f>
        <v>319509.63814436976</v>
      </c>
      <c r="C704" s="57">
        <v>4.0760716676182591</v>
      </c>
      <c r="D704" s="57">
        <v>1.0694079835384512E-2</v>
      </c>
      <c r="E704" s="57">
        <v>251.47242492272264</v>
      </c>
      <c r="F704" s="58">
        <v>11446258.105109077</v>
      </c>
    </row>
    <row r="705" spans="1:6" ht="16.5" customHeight="1">
      <c r="A705" s="56">
        <f t="shared" si="10"/>
        <v>687</v>
      </c>
      <c r="B705" s="57" cm="1">
        <f t="array" ref="B705:F705">runReactor(B704:F704,$B$2,$B$3,A704,A705,$B$8)</f>
        <v>319975.80156631861</v>
      </c>
      <c r="C705" s="57">
        <v>4.0701332993302088</v>
      </c>
      <c r="D705" s="57">
        <v>1.0694202349822752E-2</v>
      </c>
      <c r="E705" s="57">
        <v>251.47534417929029</v>
      </c>
      <c r="F705" s="58">
        <v>11446257.941302907</v>
      </c>
    </row>
    <row r="706" spans="1:6" ht="16.5" customHeight="1">
      <c r="A706" s="56">
        <f t="shared" si="10"/>
        <v>688</v>
      </c>
      <c r="B706" s="57" cm="1">
        <f t="array" ref="B706:F706">runReactor(B705:F705,$B$2,$B$3,A705,A706,$B$8)</f>
        <v>320441.96498826746</v>
      </c>
      <c r="C706" s="57">
        <v>4.0642122089122701</v>
      </c>
      <c r="D706" s="57">
        <v>1.0694324508961149E-2</v>
      </c>
      <c r="E706" s="57">
        <v>251.47825494218895</v>
      </c>
      <c r="F706" s="58">
        <v>11446257.777975675</v>
      </c>
    </row>
    <row r="707" spans="1:6" ht="16.5" customHeight="1">
      <c r="A707" s="56">
        <f t="shared" si="10"/>
        <v>689</v>
      </c>
      <c r="B707" s="57" cm="1">
        <f t="array" ref="B707:F707">runReactor(B706:F706,$B$2,$B$3,A706,A707,$B$8)</f>
        <v>320908.1284102163</v>
      </c>
      <c r="C707" s="57">
        <v>4.0583083210682309</v>
      </c>
      <c r="D707" s="57">
        <v>1.069444631434306E-2</v>
      </c>
      <c r="E707" s="57">
        <v>251.48115724843376</v>
      </c>
      <c r="F707" s="58">
        <v>11446257.615125274</v>
      </c>
    </row>
    <row r="708" spans="1:6" ht="16.5" customHeight="1">
      <c r="A708" s="56">
        <f t="shared" si="10"/>
        <v>690</v>
      </c>
      <c r="B708" s="57" cm="1">
        <f t="array" ref="B708:F708">runReactor(B707:F707,$B$2,$B$3,A707,A708,$B$8)</f>
        <v>321374.29183216515</v>
      </c>
      <c r="C708" s="57">
        <v>4.0524215609387424</v>
      </c>
      <c r="D708" s="57">
        <v>1.0694567767502475E-2</v>
      </c>
      <c r="E708" s="57">
        <v>251.48405113482508</v>
      </c>
      <c r="F708" s="58">
        <v>11446257.45274964</v>
      </c>
    </row>
    <row r="709" spans="1:6" ht="16.5" customHeight="1">
      <c r="A709" s="56">
        <f t="shared" si="10"/>
        <v>691</v>
      </c>
      <c r="B709" s="57" cm="1">
        <f t="array" ref="B709:F709">runReactor(B708:F708,$B$2,$B$3,A708,A709,$B$8)</f>
        <v>321840.455254114</v>
      </c>
      <c r="C709" s="57">
        <v>4.04655185409817</v>
      </c>
      <c r="D709" s="57">
        <v>1.0694688869965047E-2</v>
      </c>
      <c r="E709" s="57">
        <v>251.48693663794975</v>
      </c>
      <c r="F709" s="58">
        <v>11446257.290846683</v>
      </c>
    </row>
    <row r="710" spans="1:6" ht="16.5" customHeight="1">
      <c r="A710" s="56">
        <f t="shared" si="10"/>
        <v>692</v>
      </c>
      <c r="B710" s="57" cm="1">
        <f t="array" ref="B710:F710">runReactor(B709:F709,$B$2,$B$3,A709,A710,$B$8)</f>
        <v>322306.61867606285</v>
      </c>
      <c r="C710" s="57">
        <v>4.0406991265514769</v>
      </c>
      <c r="D710" s="57">
        <v>1.0694809623247736E-2</v>
      </c>
      <c r="E710" s="57">
        <v>251.48981379418333</v>
      </c>
      <c r="F710" s="58">
        <v>11446257.129414352</v>
      </c>
    </row>
    <row r="711" spans="1:6" ht="16.5" customHeight="1">
      <c r="A711" s="56">
        <f t="shared" si="10"/>
        <v>693</v>
      </c>
      <c r="B711" s="57" cm="1">
        <f t="array" ref="B711:F711">runReactor(B710:F710,$B$2,$B$3,A710,A711,$B$8)</f>
        <v>322772.7820980117</v>
      </c>
      <c r="C711" s="57">
        <v>4.0348633047310791</v>
      </c>
      <c r="D711" s="57">
        <v>1.0694930028858492E-2</v>
      </c>
      <c r="E711" s="57">
        <v>251.49268263969086</v>
      </c>
      <c r="F711" s="58">
        <v>11446256.968450585</v>
      </c>
    </row>
    <row r="712" spans="1:6" ht="16.5" customHeight="1">
      <c r="A712" s="56">
        <f t="shared" si="10"/>
        <v>694</v>
      </c>
      <c r="B712" s="57" cm="1">
        <f t="array" ref="B712:F712">runReactor(B711:F711,$B$2,$B$3,A711,A712,$B$8)</f>
        <v>323238.94551996054</v>
      </c>
      <c r="C712" s="57">
        <v>4.0290443154937972</v>
      </c>
      <c r="D712" s="57">
        <v>1.0695050088297098E-2</v>
      </c>
      <c r="E712" s="57">
        <v>251.4955432104291</v>
      </c>
      <c r="F712" s="58">
        <v>11446256.80795335</v>
      </c>
    </row>
    <row r="713" spans="1:6" ht="16.5" customHeight="1">
      <c r="A713" s="56">
        <f t="shared" si="10"/>
        <v>695</v>
      </c>
      <c r="B713" s="57" cm="1">
        <f t="array" ref="B713:F713">runReactor(B712:F712,$B$2,$B$3,A712,A713,$B$8)</f>
        <v>323705.10894190939</v>
      </c>
      <c r="C713" s="57">
        <v>4.023242086117782</v>
      </c>
      <c r="D713" s="57">
        <v>1.0695169803054431E-2</v>
      </c>
      <c r="E713" s="57">
        <v>251.49839554214785</v>
      </c>
      <c r="F713" s="58">
        <v>11446256.647920623</v>
      </c>
    </row>
    <row r="714" spans="1:6" ht="16.5" customHeight="1">
      <c r="A714" s="56">
        <f t="shared" si="10"/>
        <v>696</v>
      </c>
      <c r="B714" s="57" cm="1">
        <f t="array" ref="B714:F714">runReactor(B713:F713,$B$2,$B$3,A713,A714,$B$8)</f>
        <v>324171.27236385824</v>
      </c>
      <c r="C714" s="57">
        <v>4.017456544299491</v>
      </c>
      <c r="D714" s="57">
        <v>1.0695289174612226E-2</v>
      </c>
      <c r="E714" s="57">
        <v>251.50123967039048</v>
      </c>
      <c r="F714" s="58">
        <v>11446256.488350395</v>
      </c>
    </row>
    <row r="715" spans="1:6" ht="16.5" customHeight="1">
      <c r="A715" s="56">
        <f t="shared" si="10"/>
        <v>697</v>
      </c>
      <c r="B715" s="57" cm="1">
        <f t="array" ref="B715:F715">runReactor(B714:F714,$B$2,$B$3,A714,A715,$B$8)</f>
        <v>324637.43578580709</v>
      </c>
      <c r="C715" s="57">
        <v>4.0116876181506775</v>
      </c>
      <c r="D715" s="57">
        <v>1.0695408204444588E-2</v>
      </c>
      <c r="E715" s="57">
        <v>251.50407563049694</v>
      </c>
      <c r="F715" s="58">
        <v>11446256.329240661</v>
      </c>
    </row>
    <row r="716" spans="1:6" ht="16.5" customHeight="1">
      <c r="A716" s="56">
        <f t="shared" si="10"/>
        <v>698</v>
      </c>
      <c r="B716" s="57" cm="1">
        <f t="array" ref="B716:F716">runReactor(B715:F715,$B$2,$B$3,A715,A716,$B$8)</f>
        <v>325103.59920775593</v>
      </c>
      <c r="C716" s="57">
        <v>4.0059352361954286</v>
      </c>
      <c r="D716" s="57">
        <v>1.069552689401654E-2</v>
      </c>
      <c r="E716" s="57">
        <v>251.50690345760447</v>
      </c>
      <c r="F716" s="58">
        <v>11446256.170589427</v>
      </c>
    </row>
    <row r="717" spans="1:6" ht="16.5" customHeight="1">
      <c r="A717" s="56">
        <f t="shared" si="10"/>
        <v>699</v>
      </c>
      <c r="B717" s="57" cm="1">
        <f t="array" ref="B717:F717">runReactor(B716:F716,$B$2,$B$3,A716,A717,$B$8)</f>
        <v>325569.76262970478</v>
      </c>
      <c r="C717" s="57">
        <v>4.0001993273671914</v>
      </c>
      <c r="D717" s="57">
        <v>1.0695645244785251E-2</v>
      </c>
      <c r="E717" s="57">
        <v>251.50972318664856</v>
      </c>
      <c r="F717" s="58">
        <v>11446256.012394704</v>
      </c>
    </row>
    <row r="718" spans="1:6" ht="16.5" customHeight="1">
      <c r="A718" s="56">
        <f t="shared" si="10"/>
        <v>700</v>
      </c>
      <c r="B718" s="57" cm="1">
        <f t="array" ref="B718:F718">runReactor(B717:F717,$B$2,$B$3,A717,A718,$B$8)</f>
        <v>326035.92605165363</v>
      </c>
      <c r="C718" s="57">
        <v>3.9944798210058736</v>
      </c>
      <c r="D718" s="57">
        <v>1.0695763258198796E-2</v>
      </c>
      <c r="E718" s="57">
        <v>251.51253485236495</v>
      </c>
      <c r="F718" s="58">
        <v>11446255.854654551</v>
      </c>
    </row>
    <row r="719" spans="1:6" ht="16.5" customHeight="1">
      <c r="A719" s="56">
        <f t="shared" si="10"/>
        <v>701</v>
      </c>
      <c r="B719" s="57" cm="1">
        <f t="array" ref="B719:F719">runReactor(B718:F718,$B$2,$B$3,A718,A719,$B$8)</f>
        <v>326502.08947360248</v>
      </c>
      <c r="C719" s="57">
        <v>3.9887766468549128</v>
      </c>
      <c r="D719" s="57">
        <v>1.0695880935697535E-2</v>
      </c>
      <c r="E719" s="57">
        <v>251.51533848929162</v>
      </c>
      <c r="F719" s="58">
        <v>11446255.69736699</v>
      </c>
    </row>
    <row r="720" spans="1:6" ht="16.5" customHeight="1">
      <c r="A720" s="56">
        <f t="shared" si="10"/>
        <v>702</v>
      </c>
      <c r="B720" s="57" cm="1">
        <f t="array" ref="B720:F720">runReactor(B719:F719,$B$2,$B$3,A719,A720,$B$8)</f>
        <v>326968.25289555133</v>
      </c>
      <c r="C720" s="57">
        <v>3.9830897350584133</v>
      </c>
      <c r="D720" s="57">
        <v>1.0695998278713953E-2</v>
      </c>
      <c r="E720" s="57">
        <v>251.51813413176907</v>
      </c>
      <c r="F720" s="58">
        <v>11446255.540530084</v>
      </c>
    </row>
    <row r="721" spans="1:6" ht="16.5" customHeight="1">
      <c r="A721" s="56">
        <f t="shared" si="10"/>
        <v>703</v>
      </c>
      <c r="B721" s="57" cm="1">
        <f t="array" ref="B721:F721">runReactor(B720:F720,$B$2,$B$3,A720,A721,$B$8)</f>
        <v>327434.41631750017</v>
      </c>
      <c r="C721" s="57">
        <v>3.9774190161583047</v>
      </c>
      <c r="D721" s="57">
        <v>1.0696115288672176E-2</v>
      </c>
      <c r="E721" s="57">
        <v>251.52092181394246</v>
      </c>
      <c r="F721" s="58">
        <v>11446255.3841419</v>
      </c>
    </row>
    <row r="722" spans="1:6" ht="16.5" customHeight="1">
      <c r="A722" s="56">
        <f t="shared" si="10"/>
        <v>704</v>
      </c>
      <c r="B722" s="57" cm="1">
        <f t="array" ref="B722:F722">runReactor(B721:F721,$B$2,$B$3,A721,A722,$B$8)</f>
        <v>327900.57973944902</v>
      </c>
      <c r="C722" s="57">
        <v>3.971764421091494</v>
      </c>
      <c r="D722" s="57">
        <v>1.069623196698833E-2</v>
      </c>
      <c r="E722" s="57">
        <v>251.52370156976252</v>
      </c>
      <c r="F722" s="58">
        <v>11446255.228200514</v>
      </c>
    </row>
    <row r="723" spans="1:6" ht="16.5" customHeight="1">
      <c r="A723" s="56">
        <f t="shared" si="10"/>
        <v>705</v>
      </c>
      <c r="B723" s="57" cm="1">
        <f t="array" ref="B723:F723">runReactor(B722:F722,$B$2,$B$3,A722,A723,$B$8)</f>
        <v>328366.74316139787</v>
      </c>
      <c r="C723" s="57">
        <v>3.966125881187081</v>
      </c>
      <c r="D723" s="57">
        <v>1.0696348315070317E-2</v>
      </c>
      <c r="E723" s="57">
        <v>251.5264734329875</v>
      </c>
      <c r="F723" s="58">
        <v>11446255.072704008</v>
      </c>
    </row>
    <row r="724" spans="1:6" ht="16.5" customHeight="1">
      <c r="A724" s="56">
        <f t="shared" ref="A724:A737" si="11">A723+1</f>
        <v>706</v>
      </c>
      <c r="B724" s="57" cm="1">
        <f t="array" ref="B724:F724">runReactor(B723:F723,$B$2,$B$3,A723,A724,$B$8)</f>
        <v>328832.90658334672</v>
      </c>
      <c r="C724" s="57">
        <v>3.9605033281635595</v>
      </c>
      <c r="D724" s="57">
        <v>1.0696464334318151E-2</v>
      </c>
      <c r="E724" s="57">
        <v>251.52923743718381</v>
      </c>
      <c r="F724" s="58">
        <v>11446254.917650485</v>
      </c>
    </row>
    <row r="725" spans="1:6" ht="16.5" customHeight="1">
      <c r="A725" s="56">
        <f t="shared" si="11"/>
        <v>707</v>
      </c>
      <c r="B725" s="57" cm="1">
        <f t="array" ref="B725:F725">runReactor(B724:F724,$B$2,$B$3,A724,A725,$B$8)</f>
        <v>329299.07000529557</v>
      </c>
      <c r="C725" s="57">
        <v>3.9548966941260786</v>
      </c>
      <c r="D725" s="57">
        <v>1.0696580026123973E-2</v>
      </c>
      <c r="E725" s="57">
        <v>251.53199361572828</v>
      </c>
      <c r="F725" s="58">
        <v>11446254.76303806</v>
      </c>
    </row>
    <row r="726" spans="1:6" ht="16.5" customHeight="1">
      <c r="A726" s="56">
        <f t="shared" si="11"/>
        <v>708</v>
      </c>
      <c r="B726" s="57" cm="1">
        <f t="array" ref="B726:F726">runReactor(B725:F725,$B$2,$B$3,A725,A726,$B$8)</f>
        <v>329765.23342724441</v>
      </c>
      <c r="C726" s="57">
        <v>3.9493059115636981</v>
      </c>
      <c r="D726" s="57">
        <v>1.0696695391872003E-2</v>
      </c>
      <c r="E726" s="57">
        <v>251.53474200180861</v>
      </c>
      <c r="F726" s="58">
        <v>11446254.608864838</v>
      </c>
    </row>
    <row r="727" spans="1:6" ht="16.5" customHeight="1">
      <c r="A727" s="56">
        <f t="shared" si="11"/>
        <v>709</v>
      </c>
      <c r="B727" s="57" cm="1">
        <f t="array" ref="B727:F727">runReactor(B726:F726,$B$2,$B$3,A726,A727,$B$8)</f>
        <v>330231.39684919326</v>
      </c>
      <c r="C727" s="57">
        <v>3.9437309133466809</v>
      </c>
      <c r="D727" s="57">
        <v>1.0696810432938646E-2</v>
      </c>
      <c r="E727" s="57">
        <v>251.53748262842538</v>
      </c>
      <c r="F727" s="58">
        <v>11446254.455128988</v>
      </c>
    </row>
    <row r="728" spans="1:6" ht="16.5" customHeight="1">
      <c r="A728" s="56">
        <f t="shared" si="11"/>
        <v>710</v>
      </c>
      <c r="B728" s="57" cm="1">
        <f t="array" ref="B728:F728">runReactor(B727:F727,$B$2,$B$3,A727,A728,$B$8)</f>
        <v>330697.56027114211</v>
      </c>
      <c r="C728" s="57">
        <v>3.9381716327238121</v>
      </c>
      <c r="D728" s="57">
        <v>1.0696925150692703E-2</v>
      </c>
      <c r="E728" s="57">
        <v>251.54021552839291</v>
      </c>
      <c r="F728" s="58">
        <v>11446254.301828604</v>
      </c>
    </row>
    <row r="729" spans="1:6" ht="16.5" customHeight="1">
      <c r="A729" s="56">
        <f t="shared" si="11"/>
        <v>711</v>
      </c>
      <c r="B729" s="57" cm="1">
        <f t="array" ref="B729:F729">runReactor(B728:F728,$B$2,$B$3,A728,A729,$B$8)</f>
        <v>331163.72369309096</v>
      </c>
      <c r="C729" s="57">
        <v>3.9326280033197265</v>
      </c>
      <c r="D729" s="57">
        <v>1.0697039546495084E-2</v>
      </c>
      <c r="E729" s="57">
        <v>251.54294073434076</v>
      </c>
      <c r="F729" s="58">
        <v>11446254.148961859</v>
      </c>
    </row>
    <row r="730" spans="1:6" ht="16.5" customHeight="1">
      <c r="A730" s="56">
        <f t="shared" si="11"/>
        <v>712</v>
      </c>
      <c r="B730" s="57" cm="1">
        <f t="array" ref="B730:F730">runReactor(B729:F729,$B$2,$B$3,A729,A730,$B$8)</f>
        <v>331629.8871150398</v>
      </c>
      <c r="C730" s="57">
        <v>3.9270999591322724</v>
      </c>
      <c r="D730" s="57">
        <v>1.0697153621699327E-2</v>
      </c>
      <c r="E730" s="57">
        <v>251.54565827871525</v>
      </c>
      <c r="F730" s="58">
        <v>11446253.996526916</v>
      </c>
    </row>
    <row r="731" spans="1:6" ht="16.5" customHeight="1">
      <c r="A731" s="56">
        <f t="shared" si="11"/>
        <v>713</v>
      </c>
      <c r="B731" s="57" cm="1">
        <f t="array" ref="B731:F731">runReactor(B730:F730,$B$2,$B$3,A730,A731,$B$8)</f>
        <v>332096.05053698865</v>
      </c>
      <c r="C731" s="57">
        <v>3.9215874345298913</v>
      </c>
      <c r="D731" s="57">
        <v>1.0697267377651164E-2</v>
      </c>
      <c r="E731" s="57">
        <v>251.54836819378019</v>
      </c>
      <c r="F731" s="58">
        <v>11446253.844521942</v>
      </c>
    </row>
    <row r="732" spans="1:6" ht="16.5" customHeight="1">
      <c r="A732" s="56">
        <f t="shared" si="11"/>
        <v>714</v>
      </c>
      <c r="B732" s="57" cm="1">
        <f t="array" ref="B732:F732">runReactor(B731:F731,$B$2,$B$3,A731,A732,$B$8)</f>
        <v>332562.2139589375</v>
      </c>
      <c r="C732" s="57">
        <v>3.916090364249015</v>
      </c>
      <c r="D732" s="57">
        <v>1.0697380815689236E-2</v>
      </c>
      <c r="E732" s="57">
        <v>251.55107051161883</v>
      </c>
      <c r="F732" s="58">
        <v>11446253.692945123</v>
      </c>
    </row>
    <row r="733" spans="1:6" ht="16.5" customHeight="1">
      <c r="A733" s="56">
        <f t="shared" si="11"/>
        <v>715</v>
      </c>
      <c r="B733" s="57" cm="1">
        <f t="array" ref="B733:F733">runReactor(B732:F732,$B$2,$B$3,A732,A733,$B$8)</f>
        <v>333028.37738088635</v>
      </c>
      <c r="C733" s="57">
        <v>3.9106086833915032</v>
      </c>
      <c r="D733" s="57">
        <v>1.0697493937144344E-2</v>
      </c>
      <c r="E733" s="57">
        <v>251.55376526413443</v>
      </c>
      <c r="F733" s="58">
        <v>11446253.541794652</v>
      </c>
    </row>
    <row r="734" spans="1:6" ht="16.5" customHeight="1">
      <c r="A734" s="56">
        <f t="shared" si="11"/>
        <v>716</v>
      </c>
      <c r="B734" s="57" cm="1">
        <f t="array" ref="B734:F734">runReactor(B733:F733,$B$2,$B$3,A733,A734,$B$8)</f>
        <v>333494.5408028352</v>
      </c>
      <c r="C734" s="57">
        <v>3.9051423274220776</v>
      </c>
      <c r="D734" s="57">
        <v>1.0697606743339715E-2</v>
      </c>
      <c r="E734" s="57">
        <v>251.5564524830522</v>
      </c>
      <c r="F734" s="58">
        <v>11446253.391068732</v>
      </c>
    </row>
    <row r="735" spans="1:6" ht="16.5" customHeight="1">
      <c r="A735" s="56">
        <f t="shared" si="11"/>
        <v>717</v>
      </c>
      <c r="B735" s="57" cm="1">
        <f t="array" ref="B735:F735">runReactor(B734:F734,$B$2,$B$3,A734,A735,$B$8)</f>
        <v>333960.70422478404</v>
      </c>
      <c r="C735" s="57">
        <v>3.8996912321657913</v>
      </c>
      <c r="D735" s="57">
        <v>1.0697719235591407E-2</v>
      </c>
      <c r="E735" s="57">
        <v>251.55913219991993</v>
      </c>
      <c r="F735" s="58">
        <v>11446253.240765583</v>
      </c>
    </row>
    <row r="736" spans="1:6" ht="16.5" customHeight="1">
      <c r="A736" s="56">
        <f t="shared" si="11"/>
        <v>718</v>
      </c>
      <c r="B736" s="57" cm="1">
        <f t="array" ref="B736:F736">runReactor(B735:F735,$B$2,$B$3,A735,A736,$B$8)</f>
        <v>334426.86764673289</v>
      </c>
      <c r="C736" s="57">
        <v>3.8942553338055186</v>
      </c>
      <c r="D736" s="57">
        <v>1.0697831415208374E-2</v>
      </c>
      <c r="E736" s="57">
        <v>251.56180444610965</v>
      </c>
      <c r="F736" s="58">
        <v>11446253.090883421</v>
      </c>
    </row>
    <row r="737" spans="1:6" ht="16.5" customHeight="1">
      <c r="A737" s="56">
        <f t="shared" si="11"/>
        <v>719</v>
      </c>
      <c r="B737" s="57" cm="1">
        <f t="array" ref="B737:F737">runReactor(B736:F736,$B$2,$B$3,A736,A737,$B$8)</f>
        <v>334893.03106868174</v>
      </c>
      <c r="C737" s="57">
        <v>3.8888345688794668</v>
      </c>
      <c r="D737" s="57">
        <v>1.0697943283492304E-2</v>
      </c>
      <c r="E737" s="57">
        <v>251.56446925281855</v>
      </c>
      <c r="F737" s="58">
        <v>11446252.941420466</v>
      </c>
    </row>
  </sheetData>
  <mergeCells count="3">
    <mergeCell ref="A1:C1"/>
    <mergeCell ref="D1:F1"/>
    <mergeCell ref="A15:F15"/>
  </mergeCells>
  <pageMargins left="0.7" right="0.7" top="0.75" bottom="0.75" header="0.3" footer="0.3"/>
  <pageSetup orientation="portrait" horizontalDpi="300" verticalDpi="300" r:id="rId1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3EC971C9EB47F4AA4EF0EA68EDEB6E4" ma:contentTypeVersion="9" ma:contentTypeDescription="Create a new document." ma:contentTypeScope="" ma:versionID="c9e37e8f1ae3284a4445fdd493e4a0f4">
  <xsd:schema xmlns:xsd="http://www.w3.org/2001/XMLSchema" xmlns:xs="http://www.w3.org/2001/XMLSchema" xmlns:p="http://schemas.microsoft.com/office/2006/metadata/properties" xmlns:ns3="aa85691d-aa31-4293-a162-86ef0dad0b7c" xmlns:ns4="cb6b0dd9-6baa-44bc-9b48-760299d29a23" targetNamespace="http://schemas.microsoft.com/office/2006/metadata/properties" ma:root="true" ma:fieldsID="72892c63171c39cbbff1b56b5be04446" ns3:_="" ns4:_="">
    <xsd:import namespace="aa85691d-aa31-4293-a162-86ef0dad0b7c"/>
    <xsd:import namespace="cb6b0dd9-6baa-44bc-9b48-760299d29a2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_activity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85691d-aa31-4293-a162-86ef0dad0b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activity" ma:index="15" nillable="true" ma:displayName="_activity" ma:hidden="true" ma:internalName="_activity">
      <xsd:simpleType>
        <xsd:restriction base="dms:Note"/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6b0dd9-6baa-44bc-9b48-760299d29a2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a85691d-aa31-4293-a162-86ef0dad0b7c" xsi:nil="true"/>
  </documentManagement>
</p:properties>
</file>

<file path=customXml/itemProps1.xml><?xml version="1.0" encoding="utf-8"?>
<ds:datastoreItem xmlns:ds="http://schemas.openxmlformats.org/officeDocument/2006/customXml" ds:itemID="{D86C2C5B-B5C5-4F17-9DD6-947975A29FDD}"/>
</file>

<file path=customXml/itemProps2.xml><?xml version="1.0" encoding="utf-8"?>
<ds:datastoreItem xmlns:ds="http://schemas.openxmlformats.org/officeDocument/2006/customXml" ds:itemID="{DEA21D5D-B7CC-406E-9399-1554DDAA44E7}"/>
</file>

<file path=customXml/itemProps3.xml><?xml version="1.0" encoding="utf-8"?>
<ds:datastoreItem xmlns:ds="http://schemas.openxmlformats.org/officeDocument/2006/customXml" ds:itemID="{D52FB3CB-03BD-4C19-A0F2-2818549B37F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Said Almalak</dc:creator>
  <cp:keywords/>
  <dc:description/>
  <cp:lastModifiedBy/>
  <cp:revision/>
  <dcterms:created xsi:type="dcterms:W3CDTF">2023-11-26T21:06:02Z</dcterms:created>
  <dcterms:modified xsi:type="dcterms:W3CDTF">2024-01-28T02:19:07Z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0x010100C3EC971C9EB47F4AA4EF0EA68EDEB6E4</vt:lpwstr>
  </property>
</Properties>
</file>